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duong/Downloads/"/>
    </mc:Choice>
  </mc:AlternateContent>
  <xr:revisionPtr revIDLastSave="0" documentId="13_ncr:1_{119A014D-CDEA-5741-BAAC-DAE146D28ECC}" xr6:coauthVersionLast="47" xr6:coauthVersionMax="47" xr10:uidLastSave="{00000000-0000-0000-0000-000000000000}"/>
  <bookViews>
    <workbookView xWindow="28800" yWindow="600" windowWidth="18600" windowHeight="21000" xr2:uid="{55EC6277-DA36-024F-8559-BDAB712CFE72}"/>
  </bookViews>
  <sheets>
    <sheet name="README" sheetId="4" r:id="rId1"/>
    <sheet name="Raw Data" sheetId="1" r:id="rId2"/>
    <sheet name="Cleaned Data" sheetId="2" r:id="rId3"/>
    <sheet name="Aging Summary" sheetId="3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2" l="1"/>
  <c r="G6" i="2"/>
  <c r="H6" i="2" s="1"/>
  <c r="G7" i="2"/>
  <c r="H7" i="2" s="1"/>
  <c r="G8" i="2"/>
  <c r="H8" i="2" s="1"/>
  <c r="G9" i="2"/>
  <c r="H9" i="2" s="1"/>
  <c r="G10" i="2"/>
  <c r="G11" i="2"/>
  <c r="G12" i="2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G21" i="2"/>
  <c r="H21" i="2" s="1"/>
  <c r="G22" i="2"/>
  <c r="H22" i="2" s="1"/>
  <c r="G23" i="2"/>
  <c r="H23" i="2" s="1"/>
  <c r="G24" i="2"/>
  <c r="H24" i="2" s="1"/>
  <c r="G25" i="2"/>
  <c r="H25" i="2" s="1"/>
  <c r="G26" i="2"/>
  <c r="G27" i="2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G36" i="2"/>
  <c r="H36" i="2" s="1"/>
  <c r="G37" i="2"/>
  <c r="H37" i="2" s="1"/>
  <c r="G38" i="2"/>
  <c r="H38" i="2" s="1"/>
  <c r="G39" i="2"/>
  <c r="H39" i="2" s="1"/>
  <c r="G40" i="2"/>
  <c r="H40" i="2" s="1"/>
  <c r="G41" i="2"/>
  <c r="G42" i="2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G50" i="2"/>
  <c r="H50" i="2" s="1"/>
  <c r="G51" i="2"/>
  <c r="G52" i="2"/>
  <c r="H52" i="2" s="1"/>
  <c r="G4" i="2"/>
  <c r="G53" i="2" l="1"/>
  <c r="I16" i="2" a="1"/>
  <c r="I16" i="2" s="1"/>
  <c r="I50" i="2" a="1"/>
  <c r="I50" i="2" s="1"/>
  <c r="I45" i="2" a="1"/>
  <c r="I45" i="2" s="1"/>
  <c r="I40" i="2" a="1"/>
  <c r="I40" i="2" s="1"/>
  <c r="I34" i="2" a="1"/>
  <c r="I34" i="2" s="1"/>
  <c r="I29" i="2" a="1"/>
  <c r="I29" i="2" s="1"/>
  <c r="I21" i="2" a="1"/>
  <c r="I21" i="2" s="1"/>
  <c r="I6" i="2" a="1"/>
  <c r="I6" i="2" s="1"/>
  <c r="I39" i="2" a="1"/>
  <c r="I39" i="2" s="1"/>
  <c r="I25" i="2" a="1"/>
  <c r="I25" i="2" s="1"/>
  <c r="I15" i="2" a="1"/>
  <c r="I15" i="2" s="1"/>
  <c r="I44" i="2" a="1"/>
  <c r="I44" i="2" s="1"/>
  <c r="I38" i="2" a="1"/>
  <c r="I38" i="2" s="1"/>
  <c r="I33" i="2" a="1"/>
  <c r="I33" i="2" s="1"/>
  <c r="I28" i="2" a="1"/>
  <c r="I28" i="2" s="1"/>
  <c r="I24" i="2" a="1"/>
  <c r="I24" i="2" s="1"/>
  <c r="I43" i="2" a="1"/>
  <c r="I43" i="2" s="1"/>
  <c r="I19" i="2" a="1"/>
  <c r="I19" i="2" s="1"/>
  <c r="I14" i="2" a="1"/>
  <c r="I14" i="2" s="1"/>
  <c r="I4" i="2" a="1"/>
  <c r="I4" i="2" s="1"/>
  <c r="I48" i="2" a="1"/>
  <c r="I48" i="2" s="1"/>
  <c r="I37" i="2" a="1"/>
  <c r="I37" i="2" s="1"/>
  <c r="I32" i="2" a="1"/>
  <c r="I32" i="2" s="1"/>
  <c r="I23" i="2" a="1"/>
  <c r="I23" i="2" s="1"/>
  <c r="I18" i="2" a="1"/>
  <c r="I18" i="2" s="1"/>
  <c r="I9" i="2" a="1"/>
  <c r="I9" i="2" s="1"/>
  <c r="I47" i="2" a="1"/>
  <c r="I47" i="2" s="1"/>
  <c r="I31" i="2" a="1"/>
  <c r="I31" i="2" s="1"/>
  <c r="I13" i="2" a="1"/>
  <c r="I13" i="2" s="1"/>
  <c r="I8" i="2" a="1"/>
  <c r="I8" i="2" s="1"/>
  <c r="I52" i="2" a="1"/>
  <c r="I52" i="2" s="1"/>
  <c r="I46" i="2" a="1"/>
  <c r="I46" i="2" s="1"/>
  <c r="I36" i="2" a="1"/>
  <c r="I36" i="2" s="1"/>
  <c r="I30" i="2" a="1"/>
  <c r="I30" i="2" s="1"/>
  <c r="I22" i="2" a="1"/>
  <c r="I22" i="2" s="1"/>
  <c r="I17" i="2" a="1"/>
  <c r="I17" i="2" s="1"/>
  <c r="I7" i="2" a="1"/>
  <c r="I7" i="2" s="1"/>
  <c r="H4" i="2"/>
  <c r="H12" i="2"/>
  <c r="I12" i="2" s="1" a="1"/>
  <c r="I12" i="2" s="1"/>
  <c r="H51" i="2"/>
  <c r="I51" i="2" s="1" a="1"/>
  <c r="I51" i="2" s="1"/>
  <c r="H27" i="2"/>
  <c r="I27" i="2" s="1" a="1"/>
  <c r="I27" i="2" s="1"/>
  <c r="H5" i="2"/>
  <c r="I5" i="2" s="1" a="1"/>
  <c r="I5" i="2" s="1"/>
  <c r="H42" i="2"/>
  <c r="I42" i="2" s="1" a="1"/>
  <c r="I42" i="2" s="1"/>
  <c r="H11" i="2"/>
  <c r="I11" i="2" s="1" a="1"/>
  <c r="I11" i="2" s="1"/>
  <c r="H49" i="2"/>
  <c r="I49" i="2" s="1" a="1"/>
  <c r="I49" i="2" s="1"/>
  <c r="H41" i="2"/>
  <c r="I41" i="2" s="1" a="1"/>
  <c r="I41" i="2" s="1"/>
  <c r="H26" i="2"/>
  <c r="I26" i="2" s="1" a="1"/>
  <c r="I26" i="2" s="1"/>
  <c r="H10" i="2"/>
  <c r="I10" i="2" s="1" a="1"/>
  <c r="I10" i="2" s="1"/>
  <c r="H35" i="2"/>
  <c r="I35" i="2" s="1" a="1"/>
  <c r="I35" i="2" s="1"/>
  <c r="H20" i="2"/>
  <c r="I20" i="2" s="1" a="1"/>
  <c r="I20" i="2" s="1"/>
  <c r="F9" i="3" l="1"/>
  <c r="E9" i="3"/>
  <c r="D9" i="3"/>
  <c r="C9" i="3"/>
  <c r="B9" i="3"/>
  <c r="B5" i="3"/>
  <c r="F5" i="3"/>
  <c r="E5" i="3"/>
  <c r="D5" i="3"/>
  <c r="C5" i="3"/>
  <c r="F10" i="3"/>
  <c r="E10" i="3"/>
  <c r="D10" i="3"/>
  <c r="C10" i="3"/>
  <c r="B10" i="3"/>
  <c r="E13" i="3"/>
  <c r="D13" i="3"/>
  <c r="C13" i="3"/>
  <c r="B13" i="3"/>
  <c r="F13" i="3"/>
  <c r="E6" i="3"/>
  <c r="D6" i="3"/>
  <c r="C6" i="3"/>
  <c r="B6" i="3"/>
  <c r="F6" i="3"/>
  <c r="F12" i="3"/>
  <c r="E12" i="3"/>
  <c r="D12" i="3"/>
  <c r="C12" i="3"/>
  <c r="B12" i="3"/>
  <c r="F4" i="3"/>
  <c r="E4" i="3"/>
  <c r="D4" i="3"/>
  <c r="C4" i="3"/>
  <c r="F14" i="3"/>
  <c r="E14" i="3"/>
  <c r="D14" i="3"/>
  <c r="C14" i="3"/>
  <c r="B14" i="3"/>
  <c r="D11" i="3"/>
  <c r="C11" i="3"/>
  <c r="B11" i="3"/>
  <c r="F11" i="3"/>
  <c r="E11" i="3"/>
  <c r="C8" i="3"/>
  <c r="B8" i="3"/>
  <c r="F8" i="3"/>
  <c r="E8" i="3"/>
  <c r="D8" i="3"/>
  <c r="F7" i="3"/>
  <c r="E7" i="3"/>
  <c r="D7" i="3"/>
  <c r="C7" i="3"/>
  <c r="B7" i="3"/>
  <c r="B4" i="3"/>
  <c r="G8" i="3" l="1"/>
  <c r="G13" i="3"/>
  <c r="G7" i="3"/>
  <c r="G4" i="3"/>
  <c r="G11" i="3"/>
  <c r="G6" i="3"/>
  <c r="G9" i="3"/>
  <c r="G14" i="3"/>
  <c r="G10" i="3"/>
  <c r="G12" i="3"/>
  <c r="G5" i="3"/>
  <c r="G1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<sst xmlns="http://schemas.openxmlformats.org/spreadsheetml/2006/main" count="362" uniqueCount="114">
  <si>
    <t>invoice_id</t>
  </si>
  <si>
    <t>customer</t>
  </si>
  <si>
    <t>invoice_date</t>
  </si>
  <si>
    <t>due_date</t>
  </si>
  <si>
    <t>amount</t>
  </si>
  <si>
    <t>amount_paid</t>
  </si>
  <si>
    <t>status</t>
  </si>
  <si>
    <t>LB-3047</t>
  </si>
  <si>
    <t>Mai's Nail &amp; Beauty Bar</t>
  </si>
  <si>
    <t>paid</t>
  </si>
  <si>
    <t>LB-3037</t>
  </si>
  <si>
    <t>Evergreen Beauty Supply Co.</t>
  </si>
  <si>
    <t>Open</t>
  </si>
  <si>
    <t>LB-3019</t>
  </si>
  <si>
    <t>Coastal Glow Skincare Studio</t>
  </si>
  <si>
    <t>Partial</t>
  </si>
  <si>
    <t>LB-3024</t>
  </si>
  <si>
    <t>Orchid Lane Boutique</t>
  </si>
  <si>
    <t>Paid</t>
  </si>
  <si>
    <t>LB-3011</t>
  </si>
  <si>
    <t>LB-3034</t>
  </si>
  <si>
    <t>Silk &amp; Sen Spa</t>
  </si>
  <si>
    <t>LB-3008</t>
  </si>
  <si>
    <t>LB-3006</t>
  </si>
  <si>
    <t>LB-3044</t>
  </si>
  <si>
    <t>The Lotus Room</t>
  </si>
  <si>
    <t>LB-3014</t>
  </si>
  <si>
    <t>LB-3033</t>
  </si>
  <si>
    <t>LB-3036</t>
  </si>
  <si>
    <t>Hana House Boutique</t>
  </si>
  <si>
    <t>LB-3005</t>
  </si>
  <si>
    <t>Jade Row Cosmetics</t>
  </si>
  <si>
    <t>LB-3010</t>
  </si>
  <si>
    <t>LB-3026</t>
  </si>
  <si>
    <t>Saigon Sun Wellness</t>
  </si>
  <si>
    <t>PAID</t>
  </si>
  <si>
    <t>LB-3004</t>
  </si>
  <si>
    <t>LB-3001</t>
  </si>
  <si>
    <t>evergreen beauty supply co.</t>
  </si>
  <si>
    <t>LB-3038</t>
  </si>
  <si>
    <t>LB-3046</t>
  </si>
  <si>
    <t>LB-3041</t>
  </si>
  <si>
    <t>Evergreen Beauty Supply</t>
  </si>
  <si>
    <t>LB-3017</t>
  </si>
  <si>
    <t>Pearl &amp; Palm Spa</t>
  </si>
  <si>
    <t>LB-3021</t>
  </si>
  <si>
    <t>CM-4402</t>
  </si>
  <si>
    <t>LB-3029</t>
  </si>
  <si>
    <t>LB-3016</t>
  </si>
  <si>
    <t>LB-3042</t>
  </si>
  <si>
    <t>LB-3028</t>
  </si>
  <si>
    <t>Bloom District Beauty Co.</t>
  </si>
  <si>
    <t>LB-3009</t>
  </si>
  <si>
    <t>LB-3045</t>
  </si>
  <si>
    <t>LB-3032</t>
  </si>
  <si>
    <t>LB-3039</t>
  </si>
  <si>
    <t>LB-3002</t>
  </si>
  <si>
    <t>silk &amp; sen spa</t>
  </si>
  <si>
    <t>LB-3035</t>
  </si>
  <si>
    <t>LB-3040</t>
  </si>
  <si>
    <t xml:space="preserve"> Jade Row Cosmetics</t>
  </si>
  <si>
    <t>LB-3020</t>
  </si>
  <si>
    <t>LB-3023</t>
  </si>
  <si>
    <t>LB-3030</t>
  </si>
  <si>
    <t>LB-3013</t>
  </si>
  <si>
    <t>LB-3015</t>
  </si>
  <si>
    <t>LB-3031</t>
  </si>
  <si>
    <t>LB-3003</t>
  </si>
  <si>
    <t>LB-3025</t>
  </si>
  <si>
    <t>LB-3007</t>
  </si>
  <si>
    <t>LB-3018</t>
  </si>
  <si>
    <t>LB-3043</t>
  </si>
  <si>
    <t>LB-3027</t>
  </si>
  <si>
    <t>LB-3022</t>
  </si>
  <si>
    <t>LB-3048</t>
  </si>
  <si>
    <t>LB-3012</t>
  </si>
  <si>
    <t>Missing customer, flagged for follow-up</t>
  </si>
  <si>
    <t>As Of Date:</t>
  </si>
  <si>
    <t>Invoice_ID</t>
  </si>
  <si>
    <t>Customer</t>
  </si>
  <si>
    <t>Invoice_Date</t>
  </si>
  <si>
    <t>Due_Date</t>
  </si>
  <si>
    <t>Amount</t>
  </si>
  <si>
    <t>Amount_Paid</t>
  </si>
  <si>
    <t>Status</t>
  </si>
  <si>
    <t>Notes</t>
  </si>
  <si>
    <t>Balance Due</t>
  </si>
  <si>
    <t>Days Past Due</t>
  </si>
  <si>
    <t>Aging Bucket</t>
  </si>
  <si>
    <t>Current</t>
  </si>
  <si>
    <t>1-30 Days</t>
  </si>
  <si>
    <t>61-90 Days</t>
  </si>
  <si>
    <t>90+ Days</t>
  </si>
  <si>
    <t>Total Outstanding</t>
  </si>
  <si>
    <t>31-60 Days</t>
  </si>
  <si>
    <t>Total</t>
  </si>
  <si>
    <t>Lụa Beauty: Accounts Receivable Aging Report</t>
  </si>
  <si>
    <t>AR Aging Analysis for Fictional Vietnamese Beauty Brand</t>
  </si>
  <si>
    <t>About This Project</t>
  </si>
  <si>
    <t>Lụa Beauty sells skincare and cosmetics wholesale to boutiques, spas, and salons. This project replicates a standard AR aging workflow: extracting raw invoice data, executing data cleaning, generating an Excel aging schedule, and building an interactive Power BI dashboard.</t>
  </si>
  <si>
    <t>Process</t>
  </si>
  <si>
    <t>1. Raw Data</t>
  </si>
  <si>
    <t>2. Data Cleaning</t>
  </si>
  <si>
    <t>3. Aging Calculations</t>
  </si>
  <si>
    <t>Built formulas using arithmetic, IF, and IFS for Balance Due, Days Past Due, and Aging Bucket (Paid, Current, 1-30, 31-60, 61-90, 90+ Days)</t>
  </si>
  <si>
    <t>Started with 52-row invoice export containing realistic data issues: different date formats, inconsistent customer name capitalization and spacing, missing information, duplicate invoices, and a negative amount</t>
  </si>
  <si>
    <t>4. Aging Summary</t>
  </si>
  <si>
    <t>Built a table summarizing Balance Due by Customer and Aging Bucket using SUMIFS, tied out against the Cleaned Data total (credit memo withstanding)</t>
  </si>
  <si>
    <t>5. Power BI Dashboard</t>
  </si>
  <si>
    <t>Standardized dates and customer names using PROPER, TRIM, and SUBSTITUTE (to handle apostrophes) and identified duplicate rows using Conditional Formatting (Highlight Duplicate Values) and manual inspection</t>
  </si>
  <si>
    <t>Loaded the cleaned data into Power BI and built summary cards for Total AR Outstanding and Total 61-90 Days Past Due, a stacked bar chart flagging risk by age, a matrix (Customer x Aging Bucket), Customer and Aging Bucket slicers, and a customer totals table</t>
  </si>
  <si>
    <t>• Credit memo (-$410, Orchid Lane Boutique): nets against the customer's balance but is excluded from the aging buckets since it has no positive balance to age</t>
  </si>
  <si>
    <t>• 90+ Days bucket is empty by construction as no invoice in this sample is 90 days past due.</t>
  </si>
  <si>
    <t>• Removed two hidden duplicate invoices found after initial "Highlight Duplicate Values" round because of blank cells (one blank customer name, one blank invoice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</si>
</sst>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43" fontId="0" fillId="0" borderId="0" xfId="1" applyFont="1"/>
    <xf numFmtId="14" fontId="2" fillId="0" borderId="0" xfId="0" applyNumberFormat="1" applyFont="1"/>
    <xf numFmtId="43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6646-A43C-F043-94FD-83B38BF2FCEF}">
  <dimension ref="A1:A23"/>
  <sheetViews>
    <sheetView tabSelected="1" zoomScale="130" zoomScaleNormal="130" workbookViewId="0">
      <selection activeCell="A24" sqref="A24"/>
    </sheetView>
  </sheetViews>
  <sheetFormatPr baseColWidth="10" defaultRowHeight="16" x14ac:dyDescent="0.2"/>
  <sheetData>
    <row r="1" spans="1:1" ht="22" x14ac:dyDescent="0.3">
      <c r="A1" s="7" t="s">
        <v>96</v>
      </c>
    </row>
    <row r="2" spans="1:1" x14ac:dyDescent="0.2">
      <c r="A2" s="8" t="s">
        <v>97</v>
      </c>
    </row>
    <row r="5" spans="1:1" x14ac:dyDescent="0.2">
      <c r="A5" s="3" t="s">
        <v>98</v>
      </c>
    </row>
    <row r="6" spans="1:1" x14ac:dyDescent="0.2">
      <c r="A6" t="s">
        <v>99</v>
      </c>
    </row>
    <row r="8" spans="1:1" x14ac:dyDescent="0.2">
      <c r="A8" s="3" t="s">
        <v>100</v>
      </c>
    </row>
    <row r="9" spans="1:1" x14ac:dyDescent="0.2">
      <c r="A9" s="3" t="s">
        <v>101</v>
      </c>
    </row>
    <row r="10" spans="1:1" x14ac:dyDescent="0.2">
      <c r="A10" s="8" t="s">
        <v>105</v>
      </c>
    </row>
    <row r="11" spans="1:1" x14ac:dyDescent="0.2">
      <c r="A11" s="3" t="s">
        <v>102</v>
      </c>
    </row>
    <row r="12" spans="1:1" x14ac:dyDescent="0.2">
      <c r="A12" s="8" t="s">
        <v>109</v>
      </c>
    </row>
    <row r="13" spans="1:1" x14ac:dyDescent="0.2">
      <c r="A13" s="3" t="s">
        <v>103</v>
      </c>
    </row>
    <row r="14" spans="1:1" x14ac:dyDescent="0.2">
      <c r="A14" s="8" t="s">
        <v>104</v>
      </c>
    </row>
    <row r="15" spans="1:1" x14ac:dyDescent="0.2">
      <c r="A15" s="3" t="s">
        <v>106</v>
      </c>
    </row>
    <row r="16" spans="1:1" x14ac:dyDescent="0.2">
      <c r="A16" s="8" t="s">
        <v>107</v>
      </c>
    </row>
    <row r="17" spans="1:1" x14ac:dyDescent="0.2">
      <c r="A17" s="3" t="s">
        <v>108</v>
      </c>
    </row>
    <row r="18" spans="1:1" x14ac:dyDescent="0.2">
      <c r="A18" s="8" t="s">
        <v>110</v>
      </c>
    </row>
    <row r="20" spans="1:1" x14ac:dyDescent="0.2">
      <c r="A20" s="3" t="s">
        <v>85</v>
      </c>
    </row>
    <row r="21" spans="1:1" x14ac:dyDescent="0.2">
      <c r="A21" t="s">
        <v>111</v>
      </c>
    </row>
    <row r="22" spans="1:1" x14ac:dyDescent="0.2">
      <c r="A22" t="s">
        <v>112</v>
      </c>
    </row>
    <row r="23" spans="1:1" x14ac:dyDescent="0.2">
      <c r="A2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8B26-6173-644A-AD82-8FD8C0142EA0}">
  <dimension ref="A1:G53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9.33203125" bestFit="1" customWidth="1"/>
    <col min="2" max="2" width="25.5" bestFit="1" customWidth="1"/>
    <col min="3" max="3" width="11.5" bestFit="1" customWidth="1"/>
    <col min="4" max="4" width="9.5" bestFit="1" customWidth="1"/>
    <col min="5" max="5" width="8.1640625" bestFit="1" customWidth="1"/>
    <col min="6" max="6" width="11.83203125" bestFit="1" customWidth="1"/>
    <col min="7" max="7" width="6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t="s">
        <v>7</v>
      </c>
      <c r="B2" t="s">
        <v>8</v>
      </c>
      <c r="C2" s="1">
        <v>46182</v>
      </c>
      <c r="D2" s="1">
        <v>46212</v>
      </c>
      <c r="E2">
        <v>6252.36</v>
      </c>
      <c r="F2">
        <v>6252.36</v>
      </c>
      <c r="G2" t="s">
        <v>9</v>
      </c>
    </row>
    <row r="3" spans="1:7" x14ac:dyDescent="0.2">
      <c r="A3" t="s">
        <v>10</v>
      </c>
      <c r="B3" t="s">
        <v>11</v>
      </c>
      <c r="C3" s="2">
        <v>46239</v>
      </c>
      <c r="D3" s="1">
        <v>46269</v>
      </c>
      <c r="E3">
        <v>3852.7</v>
      </c>
      <c r="F3">
        <v>0</v>
      </c>
      <c r="G3" t="s">
        <v>12</v>
      </c>
    </row>
    <row r="4" spans="1:7" x14ac:dyDescent="0.2">
      <c r="A4" t="s">
        <v>13</v>
      </c>
      <c r="B4" t="s">
        <v>14</v>
      </c>
      <c r="C4" s="1">
        <v>46239</v>
      </c>
      <c r="D4" s="1">
        <v>46269</v>
      </c>
      <c r="E4">
        <v>2481.71</v>
      </c>
      <c r="F4">
        <v>594.07000000000005</v>
      </c>
      <c r="G4" t="s">
        <v>15</v>
      </c>
    </row>
    <row r="5" spans="1:7" x14ac:dyDescent="0.2">
      <c r="A5" t="s">
        <v>16</v>
      </c>
      <c r="B5" t="s">
        <v>17</v>
      </c>
      <c r="C5" s="2">
        <v>46154</v>
      </c>
      <c r="D5" s="1">
        <v>46184</v>
      </c>
      <c r="E5">
        <v>7957.77</v>
      </c>
      <c r="F5">
        <v>7957.77</v>
      </c>
      <c r="G5" t="s">
        <v>18</v>
      </c>
    </row>
    <row r="6" spans="1:7" x14ac:dyDescent="0.2">
      <c r="A6" t="s">
        <v>19</v>
      </c>
      <c r="C6" s="1">
        <v>46261</v>
      </c>
      <c r="D6" s="1">
        <v>46291</v>
      </c>
      <c r="E6">
        <v>8431.25</v>
      </c>
      <c r="F6">
        <v>4712.71</v>
      </c>
      <c r="G6" t="s">
        <v>15</v>
      </c>
    </row>
    <row r="7" spans="1:7" x14ac:dyDescent="0.2">
      <c r="A7" t="s">
        <v>20</v>
      </c>
      <c r="B7" t="s">
        <v>21</v>
      </c>
      <c r="C7" s="1">
        <v>46205</v>
      </c>
      <c r="D7" s="1">
        <v>46265</v>
      </c>
      <c r="E7">
        <v>1743.28</v>
      </c>
      <c r="F7">
        <v>0</v>
      </c>
      <c r="G7" t="s">
        <v>12</v>
      </c>
    </row>
    <row r="8" spans="1:7" x14ac:dyDescent="0.2">
      <c r="A8" t="s">
        <v>22</v>
      </c>
      <c r="B8" t="s">
        <v>14</v>
      </c>
      <c r="C8" s="2">
        <v>46211</v>
      </c>
      <c r="D8" s="1">
        <v>46241</v>
      </c>
      <c r="E8">
        <v>1789.49</v>
      </c>
      <c r="F8">
        <v>1789.49</v>
      </c>
      <c r="G8" t="s">
        <v>9</v>
      </c>
    </row>
    <row r="9" spans="1:7" x14ac:dyDescent="0.2">
      <c r="A9" t="s">
        <v>23</v>
      </c>
      <c r="B9" t="s">
        <v>17</v>
      </c>
      <c r="C9" s="1">
        <v>46199</v>
      </c>
      <c r="D9" s="1">
        <v>46229</v>
      </c>
      <c r="E9">
        <v>7690.23</v>
      </c>
      <c r="F9">
        <v>4851.41</v>
      </c>
      <c r="G9" t="s">
        <v>15</v>
      </c>
    </row>
    <row r="10" spans="1:7" x14ac:dyDescent="0.2">
      <c r="A10" t="s">
        <v>24</v>
      </c>
      <c r="B10" t="s">
        <v>25</v>
      </c>
      <c r="C10" s="1">
        <v>46188</v>
      </c>
      <c r="D10" s="1">
        <v>46218</v>
      </c>
      <c r="E10">
        <v>1780</v>
      </c>
      <c r="F10">
        <v>984.04</v>
      </c>
      <c r="G10" t="s">
        <v>15</v>
      </c>
    </row>
    <row r="11" spans="1:7" x14ac:dyDescent="0.2">
      <c r="A11" t="s">
        <v>26</v>
      </c>
      <c r="B11" t="s">
        <v>21</v>
      </c>
      <c r="C11" s="1">
        <v>46250</v>
      </c>
      <c r="D11" s="1">
        <v>46280</v>
      </c>
      <c r="E11">
        <v>7359.9</v>
      </c>
      <c r="F11">
        <v>1705.76</v>
      </c>
      <c r="G11" t="s">
        <v>15</v>
      </c>
    </row>
    <row r="12" spans="1:7" x14ac:dyDescent="0.2">
      <c r="A12" t="s">
        <v>27</v>
      </c>
      <c r="B12" t="s">
        <v>8</v>
      </c>
      <c r="C12" s="2">
        <v>46232</v>
      </c>
      <c r="D12" s="1">
        <v>46262</v>
      </c>
      <c r="E12">
        <v>8923.08</v>
      </c>
      <c r="F12">
        <v>4203.6400000000003</v>
      </c>
      <c r="G12" t="s">
        <v>15</v>
      </c>
    </row>
    <row r="13" spans="1:7" x14ac:dyDescent="0.2">
      <c r="A13" t="s">
        <v>28</v>
      </c>
      <c r="B13" t="s">
        <v>29</v>
      </c>
      <c r="C13" s="2">
        <v>46259</v>
      </c>
      <c r="D13" s="1">
        <v>46304</v>
      </c>
      <c r="E13">
        <v>6167.75</v>
      </c>
      <c r="F13">
        <v>2209.1999999999998</v>
      </c>
      <c r="G13" t="s">
        <v>15</v>
      </c>
    </row>
    <row r="14" spans="1:7" x14ac:dyDescent="0.2">
      <c r="A14" t="s">
        <v>30</v>
      </c>
      <c r="B14" t="s">
        <v>31</v>
      </c>
      <c r="C14" s="1">
        <v>46192</v>
      </c>
      <c r="D14" s="1">
        <v>46222</v>
      </c>
      <c r="E14">
        <v>7493.09</v>
      </c>
      <c r="F14">
        <v>0</v>
      </c>
      <c r="G14" t="s">
        <v>12</v>
      </c>
    </row>
    <row r="15" spans="1:7" x14ac:dyDescent="0.2">
      <c r="A15" t="s">
        <v>32</v>
      </c>
      <c r="B15" t="s">
        <v>11</v>
      </c>
      <c r="C15" s="1">
        <v>46241</v>
      </c>
      <c r="D15" s="1">
        <v>46271</v>
      </c>
      <c r="E15">
        <v>7809.24</v>
      </c>
      <c r="F15">
        <v>0</v>
      </c>
      <c r="G15" t="s">
        <v>12</v>
      </c>
    </row>
    <row r="16" spans="1:7" x14ac:dyDescent="0.2">
      <c r="A16" t="s">
        <v>23</v>
      </c>
      <c r="B16" t="s">
        <v>17</v>
      </c>
      <c r="C16" s="1">
        <v>46199</v>
      </c>
      <c r="D16" s="1">
        <v>46229</v>
      </c>
      <c r="E16">
        <v>7690.23</v>
      </c>
      <c r="F16">
        <v>4851.41</v>
      </c>
      <c r="G16" t="s">
        <v>15</v>
      </c>
    </row>
    <row r="17" spans="1:7" x14ac:dyDescent="0.2">
      <c r="A17" t="s">
        <v>33</v>
      </c>
      <c r="B17" t="s">
        <v>34</v>
      </c>
      <c r="C17" s="2">
        <v>46166</v>
      </c>
      <c r="D17" s="1">
        <v>46211</v>
      </c>
      <c r="E17">
        <v>2035.13</v>
      </c>
      <c r="F17">
        <v>2035.13</v>
      </c>
      <c r="G17" t="s">
        <v>35</v>
      </c>
    </row>
    <row r="18" spans="1:7" x14ac:dyDescent="0.2">
      <c r="A18" t="s">
        <v>36</v>
      </c>
      <c r="B18" t="s">
        <v>14</v>
      </c>
      <c r="C18" s="1">
        <v>46250</v>
      </c>
      <c r="D18" s="1">
        <v>46280</v>
      </c>
      <c r="E18">
        <v>8821.34</v>
      </c>
      <c r="F18">
        <v>8821.34</v>
      </c>
      <c r="G18" t="s">
        <v>18</v>
      </c>
    </row>
    <row r="19" spans="1:7" x14ac:dyDescent="0.2">
      <c r="A19" t="s">
        <v>37</v>
      </c>
      <c r="B19" t="s">
        <v>38</v>
      </c>
      <c r="C19" s="1">
        <v>46238</v>
      </c>
      <c r="D19" s="1">
        <v>46268</v>
      </c>
      <c r="E19">
        <v>1584.91</v>
      </c>
      <c r="F19">
        <v>1584.91</v>
      </c>
      <c r="G19" t="s">
        <v>9</v>
      </c>
    </row>
    <row r="20" spans="1:7" x14ac:dyDescent="0.2">
      <c r="A20" t="s">
        <v>39</v>
      </c>
      <c r="B20" t="s">
        <v>31</v>
      </c>
      <c r="C20" s="1">
        <v>46150</v>
      </c>
      <c r="D20" s="1">
        <v>46180</v>
      </c>
      <c r="E20">
        <v>432.44</v>
      </c>
      <c r="F20">
        <v>208.22</v>
      </c>
      <c r="G20" t="s">
        <v>15</v>
      </c>
    </row>
    <row r="21" spans="1:7" x14ac:dyDescent="0.2">
      <c r="A21" t="s">
        <v>40</v>
      </c>
      <c r="B21" t="s">
        <v>25</v>
      </c>
      <c r="C21" s="1">
        <v>46264</v>
      </c>
      <c r="D21" s="2">
        <v>46294</v>
      </c>
      <c r="E21">
        <v>3577.17</v>
      </c>
      <c r="F21">
        <v>0</v>
      </c>
      <c r="G21" t="s">
        <v>12</v>
      </c>
    </row>
    <row r="22" spans="1:7" x14ac:dyDescent="0.2">
      <c r="A22" t="s">
        <v>41</v>
      </c>
      <c r="B22" t="s">
        <v>42</v>
      </c>
      <c r="C22" s="1">
        <v>46236</v>
      </c>
      <c r="D22" s="2">
        <v>46266</v>
      </c>
      <c r="E22">
        <v>8223.9599999999991</v>
      </c>
      <c r="F22">
        <v>0</v>
      </c>
      <c r="G22" t="s">
        <v>12</v>
      </c>
    </row>
    <row r="23" spans="1:7" x14ac:dyDescent="0.2">
      <c r="A23" t="s">
        <v>43</v>
      </c>
      <c r="B23" t="s">
        <v>44</v>
      </c>
      <c r="C23" s="1">
        <v>46153</v>
      </c>
      <c r="D23" s="1">
        <v>46183</v>
      </c>
      <c r="E23">
        <v>8054.09</v>
      </c>
      <c r="F23">
        <v>8054.09</v>
      </c>
      <c r="G23" t="s">
        <v>9</v>
      </c>
    </row>
    <row r="24" spans="1:7" x14ac:dyDescent="0.2">
      <c r="A24" t="s">
        <v>45</v>
      </c>
      <c r="B24" t="s">
        <v>8</v>
      </c>
      <c r="C24" s="2">
        <v>46151</v>
      </c>
      <c r="D24" s="1">
        <v>46211</v>
      </c>
      <c r="E24">
        <v>7034.1</v>
      </c>
      <c r="F24">
        <v>0</v>
      </c>
      <c r="G24" t="s">
        <v>12</v>
      </c>
    </row>
    <row r="25" spans="1:7" x14ac:dyDescent="0.2">
      <c r="A25" t="s">
        <v>46</v>
      </c>
      <c r="B25" t="s">
        <v>17</v>
      </c>
      <c r="C25" s="1">
        <v>46217</v>
      </c>
      <c r="D25" s="1">
        <v>46247</v>
      </c>
      <c r="E25">
        <v>-410</v>
      </c>
      <c r="F25">
        <v>0</v>
      </c>
      <c r="G25" t="s">
        <v>12</v>
      </c>
    </row>
    <row r="26" spans="1:7" x14ac:dyDescent="0.2">
      <c r="A26" t="s">
        <v>47</v>
      </c>
      <c r="B26" t="s">
        <v>25</v>
      </c>
      <c r="C26" s="1">
        <v>46215</v>
      </c>
      <c r="D26" s="1">
        <v>46245</v>
      </c>
      <c r="E26">
        <v>2815.12</v>
      </c>
      <c r="F26">
        <v>2815.12</v>
      </c>
      <c r="G26" t="s">
        <v>18</v>
      </c>
    </row>
    <row r="27" spans="1:7" x14ac:dyDescent="0.2">
      <c r="A27" t="s">
        <v>48</v>
      </c>
      <c r="B27" t="s">
        <v>38</v>
      </c>
      <c r="C27" s="2">
        <v>46214</v>
      </c>
      <c r="D27" s="1">
        <v>46244</v>
      </c>
      <c r="F27">
        <v>0</v>
      </c>
      <c r="G27" t="s">
        <v>12</v>
      </c>
    </row>
    <row r="28" spans="1:7" x14ac:dyDescent="0.2">
      <c r="A28" t="s">
        <v>49</v>
      </c>
      <c r="B28" t="s">
        <v>14</v>
      </c>
      <c r="C28" s="2">
        <v>46192</v>
      </c>
      <c r="D28" s="1">
        <v>46222</v>
      </c>
      <c r="E28">
        <v>6700.87</v>
      </c>
      <c r="F28">
        <v>6700.87</v>
      </c>
      <c r="G28" t="s">
        <v>9</v>
      </c>
    </row>
    <row r="29" spans="1:7" x14ac:dyDescent="0.2">
      <c r="A29" t="s">
        <v>50</v>
      </c>
      <c r="B29" t="s">
        <v>51</v>
      </c>
      <c r="C29" s="1">
        <v>46176</v>
      </c>
      <c r="D29" s="1">
        <v>46206</v>
      </c>
      <c r="E29">
        <v>7435.24</v>
      </c>
      <c r="F29">
        <v>7435.24</v>
      </c>
      <c r="G29" t="s">
        <v>18</v>
      </c>
    </row>
    <row r="30" spans="1:7" x14ac:dyDescent="0.2">
      <c r="A30" t="s">
        <v>52</v>
      </c>
      <c r="B30" t="s">
        <v>29</v>
      </c>
      <c r="C30" s="1">
        <v>46188</v>
      </c>
      <c r="D30" s="2">
        <v>46218</v>
      </c>
      <c r="E30">
        <v>5077.1400000000003</v>
      </c>
      <c r="F30">
        <v>5077.1400000000003</v>
      </c>
      <c r="G30" t="s">
        <v>35</v>
      </c>
    </row>
    <row r="31" spans="1:7" x14ac:dyDescent="0.2">
      <c r="A31" t="s">
        <v>53</v>
      </c>
      <c r="B31" t="s">
        <v>17</v>
      </c>
      <c r="C31" s="1">
        <v>46156</v>
      </c>
      <c r="D31" s="1">
        <v>46186</v>
      </c>
      <c r="E31">
        <v>5178.47</v>
      </c>
      <c r="F31">
        <v>0</v>
      </c>
      <c r="G31" t="s">
        <v>12</v>
      </c>
    </row>
    <row r="32" spans="1:7" x14ac:dyDescent="0.2">
      <c r="A32" t="s">
        <v>54</v>
      </c>
      <c r="B32" t="s">
        <v>51</v>
      </c>
      <c r="C32" s="1">
        <v>46236</v>
      </c>
      <c r="D32" s="1">
        <v>46281</v>
      </c>
      <c r="E32">
        <v>2874.46</v>
      </c>
      <c r="F32">
        <v>0</v>
      </c>
      <c r="G32" t="s">
        <v>12</v>
      </c>
    </row>
    <row r="33" spans="1:7" x14ac:dyDescent="0.2">
      <c r="A33" t="s">
        <v>55</v>
      </c>
      <c r="B33" t="s">
        <v>44</v>
      </c>
      <c r="C33" s="1">
        <v>46242</v>
      </c>
      <c r="D33" s="1">
        <v>46302</v>
      </c>
      <c r="E33">
        <v>2697.02</v>
      </c>
      <c r="F33">
        <v>0</v>
      </c>
      <c r="G33" t="s">
        <v>12</v>
      </c>
    </row>
    <row r="34" spans="1:7" x14ac:dyDescent="0.2">
      <c r="A34" t="s">
        <v>56</v>
      </c>
      <c r="B34" t="s">
        <v>57</v>
      </c>
      <c r="C34" s="1">
        <v>46240</v>
      </c>
      <c r="D34" s="1">
        <v>46300</v>
      </c>
      <c r="E34">
        <v>5677.87</v>
      </c>
      <c r="F34">
        <v>3168.31</v>
      </c>
      <c r="G34" t="s">
        <v>15</v>
      </c>
    </row>
    <row r="35" spans="1:7" x14ac:dyDescent="0.2">
      <c r="A35" t="s">
        <v>58</v>
      </c>
      <c r="B35" t="s">
        <v>17</v>
      </c>
      <c r="C35" s="1">
        <v>46193</v>
      </c>
      <c r="D35" s="1">
        <v>46223</v>
      </c>
      <c r="E35">
        <v>6325.63</v>
      </c>
      <c r="F35">
        <v>6325.63</v>
      </c>
      <c r="G35" t="s">
        <v>18</v>
      </c>
    </row>
    <row r="36" spans="1:7" x14ac:dyDescent="0.2">
      <c r="A36" t="s">
        <v>59</v>
      </c>
      <c r="B36" t="s">
        <v>60</v>
      </c>
      <c r="C36" s="1">
        <v>46163</v>
      </c>
      <c r="D36" s="2">
        <v>46223</v>
      </c>
      <c r="E36">
        <v>6576.33</v>
      </c>
      <c r="F36">
        <v>4561.45</v>
      </c>
      <c r="G36" t="s">
        <v>15</v>
      </c>
    </row>
    <row r="37" spans="1:7" x14ac:dyDescent="0.2">
      <c r="A37" t="s">
        <v>61</v>
      </c>
      <c r="B37" t="s">
        <v>44</v>
      </c>
      <c r="C37" s="2">
        <v>46171</v>
      </c>
      <c r="D37" s="1">
        <v>46201</v>
      </c>
      <c r="E37">
        <v>1486.26</v>
      </c>
      <c r="F37">
        <v>705.83</v>
      </c>
      <c r="G37" t="s">
        <v>15</v>
      </c>
    </row>
    <row r="38" spans="1:7" x14ac:dyDescent="0.2">
      <c r="A38" t="s">
        <v>62</v>
      </c>
      <c r="B38" t="s">
        <v>29</v>
      </c>
      <c r="C38" s="1">
        <v>46199</v>
      </c>
      <c r="D38" s="1">
        <v>46229</v>
      </c>
      <c r="E38">
        <v>5557.7</v>
      </c>
      <c r="F38">
        <v>5557.7</v>
      </c>
      <c r="G38" t="s">
        <v>9</v>
      </c>
    </row>
    <row r="39" spans="1:7" x14ac:dyDescent="0.2">
      <c r="A39" t="s">
        <v>63</v>
      </c>
      <c r="B39" t="s">
        <v>21</v>
      </c>
      <c r="C39" s="1">
        <v>46200</v>
      </c>
      <c r="D39" s="1">
        <v>46230</v>
      </c>
      <c r="E39">
        <v>8925.6200000000008</v>
      </c>
      <c r="F39">
        <v>0</v>
      </c>
      <c r="G39" t="s">
        <v>12</v>
      </c>
    </row>
    <row r="40" spans="1:7" x14ac:dyDescent="0.2">
      <c r="A40" t="s">
        <v>64</v>
      </c>
      <c r="B40" t="s">
        <v>29</v>
      </c>
      <c r="C40" s="1">
        <v>46218</v>
      </c>
      <c r="D40" s="1">
        <v>46248</v>
      </c>
      <c r="E40">
        <v>2290.9899999999998</v>
      </c>
      <c r="F40">
        <v>0</v>
      </c>
      <c r="G40" t="s">
        <v>12</v>
      </c>
    </row>
    <row r="41" spans="1:7" x14ac:dyDescent="0.2">
      <c r="A41" t="s">
        <v>65</v>
      </c>
      <c r="B41" t="s">
        <v>44</v>
      </c>
      <c r="C41" s="1">
        <v>46237</v>
      </c>
      <c r="D41" s="2">
        <v>46297</v>
      </c>
      <c r="E41">
        <v>7967.9</v>
      </c>
      <c r="F41">
        <v>7967.9</v>
      </c>
      <c r="G41" t="s">
        <v>9</v>
      </c>
    </row>
    <row r="42" spans="1:7" x14ac:dyDescent="0.2">
      <c r="A42" t="s">
        <v>66</v>
      </c>
      <c r="B42" t="s">
        <v>51</v>
      </c>
      <c r="C42" s="1">
        <v>46207</v>
      </c>
      <c r="D42" s="1">
        <v>46252</v>
      </c>
      <c r="E42">
        <v>2241.66</v>
      </c>
      <c r="F42">
        <v>514.04999999999995</v>
      </c>
      <c r="G42" t="s">
        <v>15</v>
      </c>
    </row>
    <row r="43" spans="1:7" x14ac:dyDescent="0.2">
      <c r="A43" t="s">
        <v>67</v>
      </c>
      <c r="B43" t="s">
        <v>34</v>
      </c>
      <c r="C43" s="1">
        <v>46194</v>
      </c>
      <c r="D43" s="2">
        <v>46224</v>
      </c>
      <c r="E43">
        <v>7513.46</v>
      </c>
      <c r="F43">
        <v>7513.46</v>
      </c>
      <c r="G43" t="s">
        <v>18</v>
      </c>
    </row>
    <row r="44" spans="1:7" x14ac:dyDescent="0.2">
      <c r="A44" t="s">
        <v>68</v>
      </c>
      <c r="B44" t="s">
        <v>8</v>
      </c>
      <c r="C44" s="1">
        <v>46200</v>
      </c>
      <c r="D44" s="1">
        <v>46230</v>
      </c>
      <c r="E44">
        <v>6751.67</v>
      </c>
      <c r="F44">
        <v>0</v>
      </c>
      <c r="G44" t="s">
        <v>12</v>
      </c>
    </row>
    <row r="45" spans="1:7" x14ac:dyDescent="0.2">
      <c r="A45" t="s">
        <v>69</v>
      </c>
      <c r="B45" t="s">
        <v>21</v>
      </c>
      <c r="C45" s="1">
        <v>46171</v>
      </c>
      <c r="D45" s="1">
        <v>46201</v>
      </c>
      <c r="E45">
        <v>9069.2099999999991</v>
      </c>
      <c r="F45">
        <v>0</v>
      </c>
      <c r="G45" t="s">
        <v>12</v>
      </c>
    </row>
    <row r="46" spans="1:7" x14ac:dyDescent="0.2">
      <c r="A46" t="s">
        <v>19</v>
      </c>
      <c r="B46" t="s">
        <v>31</v>
      </c>
      <c r="C46" s="1">
        <v>46261</v>
      </c>
      <c r="D46" s="1">
        <v>46291</v>
      </c>
      <c r="E46">
        <v>8431.25</v>
      </c>
      <c r="F46">
        <v>4712.71</v>
      </c>
      <c r="G46" t="s">
        <v>15</v>
      </c>
    </row>
    <row r="47" spans="1:7" x14ac:dyDescent="0.2">
      <c r="A47" t="s">
        <v>70</v>
      </c>
      <c r="B47" t="s">
        <v>31</v>
      </c>
      <c r="C47" s="1">
        <v>46200</v>
      </c>
      <c r="D47" s="2">
        <v>46260</v>
      </c>
      <c r="E47">
        <v>8478.67</v>
      </c>
      <c r="F47">
        <v>3767.1</v>
      </c>
      <c r="G47" t="s">
        <v>15</v>
      </c>
    </row>
    <row r="48" spans="1:7" x14ac:dyDescent="0.2">
      <c r="A48" t="s">
        <v>48</v>
      </c>
      <c r="B48" t="s">
        <v>38</v>
      </c>
      <c r="C48" s="2">
        <v>46214</v>
      </c>
      <c r="D48" s="1">
        <v>46244</v>
      </c>
      <c r="E48">
        <v>4365.45</v>
      </c>
      <c r="F48">
        <v>0</v>
      </c>
      <c r="G48" t="s">
        <v>12</v>
      </c>
    </row>
    <row r="49" spans="1:7" x14ac:dyDescent="0.2">
      <c r="A49" t="s">
        <v>71</v>
      </c>
      <c r="B49" t="s">
        <v>14</v>
      </c>
      <c r="C49" s="1">
        <v>46154</v>
      </c>
      <c r="D49" s="2">
        <v>46184</v>
      </c>
      <c r="E49">
        <v>1166.8399999999999</v>
      </c>
      <c r="F49">
        <v>394.79</v>
      </c>
      <c r="G49" t="s">
        <v>15</v>
      </c>
    </row>
    <row r="50" spans="1:7" x14ac:dyDescent="0.2">
      <c r="A50" t="s">
        <v>72</v>
      </c>
      <c r="B50" t="s">
        <v>51</v>
      </c>
      <c r="C50" s="1">
        <v>46210</v>
      </c>
      <c r="D50" s="1">
        <v>46240</v>
      </c>
      <c r="E50">
        <v>6309.28</v>
      </c>
      <c r="F50">
        <v>0</v>
      </c>
      <c r="G50" t="s">
        <v>12</v>
      </c>
    </row>
    <row r="51" spans="1:7" x14ac:dyDescent="0.2">
      <c r="A51" t="s">
        <v>73</v>
      </c>
      <c r="B51" t="s">
        <v>11</v>
      </c>
      <c r="C51" s="2">
        <v>46213</v>
      </c>
      <c r="D51" s="1">
        <v>46273</v>
      </c>
      <c r="E51">
        <v>4345.6499999999996</v>
      </c>
      <c r="F51">
        <v>4345.6499999999996</v>
      </c>
      <c r="G51" t="s">
        <v>18</v>
      </c>
    </row>
    <row r="52" spans="1:7" x14ac:dyDescent="0.2">
      <c r="A52" t="s">
        <v>74</v>
      </c>
      <c r="B52" t="s">
        <v>8</v>
      </c>
      <c r="C52" s="1">
        <v>46159</v>
      </c>
      <c r="D52" s="1">
        <v>46189</v>
      </c>
      <c r="E52">
        <v>8989.42</v>
      </c>
      <c r="F52">
        <v>0</v>
      </c>
      <c r="G52" t="s">
        <v>12</v>
      </c>
    </row>
    <row r="53" spans="1:7" x14ac:dyDescent="0.2">
      <c r="A53" t="s">
        <v>75</v>
      </c>
      <c r="B53" t="s">
        <v>51</v>
      </c>
      <c r="C53" s="2">
        <v>46156</v>
      </c>
      <c r="D53" s="1">
        <v>46201</v>
      </c>
      <c r="E53">
        <v>1614.41</v>
      </c>
      <c r="F53">
        <v>1614.41</v>
      </c>
      <c r="G5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2CFC-925E-104B-B979-01ADE01CB0E2}">
  <dimension ref="A1:M53"/>
  <sheetViews>
    <sheetView zoomScale="130" zoomScaleNormal="130"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10.1640625" bestFit="1" customWidth="1"/>
    <col min="2" max="2" width="25.5" bestFit="1" customWidth="1"/>
    <col min="3" max="3" width="11.5" bestFit="1" customWidth="1"/>
    <col min="4" max="5" width="9.5" bestFit="1" customWidth="1"/>
    <col min="6" max="6" width="12" bestFit="1" customWidth="1"/>
    <col min="7" max="7" width="11.6640625" bestFit="1" customWidth="1"/>
    <col min="8" max="8" width="13.1640625" bestFit="1" customWidth="1"/>
    <col min="9" max="9" width="12" bestFit="1" customWidth="1"/>
    <col min="10" max="10" width="6.5" bestFit="1" customWidth="1"/>
    <col min="11" max="11" width="33.83203125" customWidth="1"/>
  </cols>
  <sheetData>
    <row r="1" spans="1:13" x14ac:dyDescent="0.2">
      <c r="A1" s="3" t="s">
        <v>77</v>
      </c>
      <c r="B1" s="1">
        <v>46270</v>
      </c>
    </row>
    <row r="3" spans="1:13" x14ac:dyDescent="0.2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86</v>
      </c>
      <c r="H3" s="3" t="s">
        <v>87</v>
      </c>
      <c r="I3" s="3" t="s">
        <v>88</v>
      </c>
      <c r="J3" s="3" t="s">
        <v>84</v>
      </c>
      <c r="K3" s="3" t="s">
        <v>85</v>
      </c>
      <c r="M3" s="1"/>
    </row>
    <row r="4" spans="1:13" x14ac:dyDescent="0.2">
      <c r="A4" t="s">
        <v>7</v>
      </c>
      <c r="B4" t="s">
        <v>8</v>
      </c>
      <c r="C4" s="1">
        <v>46182</v>
      </c>
      <c r="D4" s="1">
        <v>46212</v>
      </c>
      <c r="E4" s="4">
        <v>6252.36</v>
      </c>
      <c r="F4" s="4">
        <v>6252.36</v>
      </c>
      <c r="G4" s="4">
        <f>E4-F4</f>
        <v>0</v>
      </c>
      <c r="H4">
        <f>IF(G4&lt;=0,0,MAX($B$1-D4,0))</f>
        <v>0</v>
      </c>
      <c r="I4" t="str" cm="1">
        <f t="array" ref="I4">_xlfn.IFS(G4&lt;=0,"Paid",H4=0, "Current",H4&lt;=30,"1-30 Days",H4&lt;=60,"31-60 Days",H4&lt;=90,"61-90 Days",TRUE,"90+ Days")</f>
        <v>Paid</v>
      </c>
      <c r="J4" t="s">
        <v>18</v>
      </c>
    </row>
    <row r="5" spans="1:13" x14ac:dyDescent="0.2">
      <c r="A5" t="s">
        <v>10</v>
      </c>
      <c r="B5" t="s">
        <v>11</v>
      </c>
      <c r="C5" s="1">
        <v>46239</v>
      </c>
      <c r="D5" s="1">
        <v>46269</v>
      </c>
      <c r="E5" s="4">
        <v>3852.7</v>
      </c>
      <c r="F5" s="4">
        <v>0</v>
      </c>
      <c r="G5" s="4">
        <f t="shared" ref="G5:G52" si="0">E5-F5</f>
        <v>3852.7</v>
      </c>
      <c r="H5">
        <f t="shared" ref="H5:H52" si="1">IF(G5&lt;=0,0,MAX($B$1-D5,0))</f>
        <v>1</v>
      </c>
      <c r="I5" t="str" cm="1">
        <f t="array" ref="I5">_xlfn.IFS(G5&lt;=0,"Paid",H5=0, "Current",H5&lt;=30,"1-30 Days",H5&lt;=60,"31-60 Days",H5&lt;=90,"61-90 Days",TRUE,"90+ Days")</f>
        <v>1-30 Days</v>
      </c>
      <c r="J5" t="s">
        <v>12</v>
      </c>
    </row>
    <row r="6" spans="1:13" x14ac:dyDescent="0.2">
      <c r="A6" t="s">
        <v>13</v>
      </c>
      <c r="B6" t="s">
        <v>14</v>
      </c>
      <c r="C6" s="1">
        <v>46239</v>
      </c>
      <c r="D6" s="1">
        <v>46269</v>
      </c>
      <c r="E6" s="4">
        <v>2481.71</v>
      </c>
      <c r="F6" s="4">
        <v>594.07000000000005</v>
      </c>
      <c r="G6" s="4">
        <f t="shared" si="0"/>
        <v>1887.6399999999999</v>
      </c>
      <c r="H6">
        <f t="shared" si="1"/>
        <v>1</v>
      </c>
      <c r="I6" t="str" cm="1">
        <f t="array" ref="I6">_xlfn.IFS(G6&lt;=0,"Paid",H6=0, "Current",H6&lt;=30,"1-30 Days",H6&lt;=60,"31-60 Days",H6&lt;=90,"61-90 Days",TRUE,"90+ Days")</f>
        <v>1-30 Days</v>
      </c>
      <c r="J6" t="s">
        <v>15</v>
      </c>
    </row>
    <row r="7" spans="1:13" x14ac:dyDescent="0.2">
      <c r="A7" t="s">
        <v>16</v>
      </c>
      <c r="B7" t="s">
        <v>17</v>
      </c>
      <c r="C7" s="1">
        <v>46154</v>
      </c>
      <c r="D7" s="1">
        <v>46184</v>
      </c>
      <c r="E7" s="4">
        <v>7957.77</v>
      </c>
      <c r="F7" s="4">
        <v>7957.77</v>
      </c>
      <c r="G7" s="4">
        <f t="shared" si="0"/>
        <v>0</v>
      </c>
      <c r="H7">
        <f t="shared" si="1"/>
        <v>0</v>
      </c>
      <c r="I7" t="str" cm="1">
        <f t="array" ref="I7">_xlfn.IFS(G7&lt;=0,"Paid",H7=0, "Current",H7&lt;=30,"1-30 Days",H7&lt;=60,"31-60 Days",H7&lt;=90,"61-90 Days",TRUE,"90+ Days")</f>
        <v>Paid</v>
      </c>
      <c r="J7" t="s">
        <v>18</v>
      </c>
      <c r="K7" t="s">
        <v>76</v>
      </c>
    </row>
    <row r="8" spans="1:13" x14ac:dyDescent="0.2">
      <c r="A8" t="s">
        <v>20</v>
      </c>
      <c r="B8" t="s">
        <v>21</v>
      </c>
      <c r="C8" s="1">
        <v>46205</v>
      </c>
      <c r="D8" s="1">
        <v>46265</v>
      </c>
      <c r="E8" s="4">
        <v>1743.28</v>
      </c>
      <c r="F8" s="4">
        <v>0</v>
      </c>
      <c r="G8" s="4">
        <f t="shared" si="0"/>
        <v>1743.28</v>
      </c>
      <c r="H8">
        <f t="shared" si="1"/>
        <v>5</v>
      </c>
      <c r="I8" t="str" cm="1">
        <f t="array" ref="I8">_xlfn.IFS(G8&lt;=0,"Paid",H8=0, "Current",H8&lt;=30,"1-30 Days",H8&lt;=60,"31-60 Days",H8&lt;=90,"61-90 Days",TRUE,"90+ Days")</f>
        <v>1-30 Days</v>
      </c>
      <c r="J8" t="s">
        <v>12</v>
      </c>
    </row>
    <row r="9" spans="1:13" x14ac:dyDescent="0.2">
      <c r="A9" t="s">
        <v>22</v>
      </c>
      <c r="B9" t="s">
        <v>14</v>
      </c>
      <c r="C9" s="1">
        <v>46211</v>
      </c>
      <c r="D9" s="1">
        <v>46241</v>
      </c>
      <c r="E9" s="4">
        <v>1789.49</v>
      </c>
      <c r="F9" s="4">
        <v>1789.49</v>
      </c>
      <c r="G9" s="4">
        <f t="shared" si="0"/>
        <v>0</v>
      </c>
      <c r="H9">
        <f t="shared" si="1"/>
        <v>0</v>
      </c>
      <c r="I9" t="str" cm="1">
        <f t="array" ref="I9">_xlfn.IFS(G9&lt;=0,"Paid",H9=0, "Current",H9&lt;=30,"1-30 Days",H9&lt;=60,"31-60 Days",H9&lt;=90,"61-90 Days",TRUE,"90+ Days")</f>
        <v>Paid</v>
      </c>
      <c r="J9" t="s">
        <v>18</v>
      </c>
    </row>
    <row r="10" spans="1:13" x14ac:dyDescent="0.2">
      <c r="A10" t="s">
        <v>23</v>
      </c>
      <c r="B10" t="s">
        <v>17</v>
      </c>
      <c r="C10" s="1">
        <v>46199</v>
      </c>
      <c r="D10" s="1">
        <v>46229</v>
      </c>
      <c r="E10" s="4">
        <v>7690.23</v>
      </c>
      <c r="F10" s="4">
        <v>4851.41</v>
      </c>
      <c r="G10" s="4">
        <f t="shared" si="0"/>
        <v>2838.8199999999997</v>
      </c>
      <c r="H10">
        <f t="shared" si="1"/>
        <v>41</v>
      </c>
      <c r="I10" t="str" cm="1">
        <f t="array" ref="I10">_xlfn.IFS(G10&lt;=0,"Paid",H10=0, "Current",H10&lt;=30,"1-30 Days",H10&lt;=60,"31-60 Days",H10&lt;=90,"61-90 Days",TRUE,"90+ Days")</f>
        <v>31-60 Days</v>
      </c>
      <c r="J10" t="s">
        <v>15</v>
      </c>
    </row>
    <row r="11" spans="1:13" x14ac:dyDescent="0.2">
      <c r="A11" t="s">
        <v>24</v>
      </c>
      <c r="B11" t="s">
        <v>25</v>
      </c>
      <c r="C11" s="1">
        <v>46188</v>
      </c>
      <c r="D11" s="1">
        <v>46218</v>
      </c>
      <c r="E11" s="4">
        <v>1780</v>
      </c>
      <c r="F11" s="4">
        <v>984.04</v>
      </c>
      <c r="G11" s="4">
        <f t="shared" si="0"/>
        <v>795.96</v>
      </c>
      <c r="H11">
        <f t="shared" si="1"/>
        <v>52</v>
      </c>
      <c r="I11" t="str" cm="1">
        <f t="array" ref="I11">_xlfn.IFS(G11&lt;=0,"Paid",H11=0, "Current",H11&lt;=30,"1-30 Days",H11&lt;=60,"31-60 Days",H11&lt;=90,"61-90 Days",TRUE,"90+ Days")</f>
        <v>31-60 Days</v>
      </c>
      <c r="J11" t="s">
        <v>15</v>
      </c>
    </row>
    <row r="12" spans="1:13" x14ac:dyDescent="0.2">
      <c r="A12" t="s">
        <v>26</v>
      </c>
      <c r="B12" t="s">
        <v>21</v>
      </c>
      <c r="C12" s="1">
        <v>46250</v>
      </c>
      <c r="D12" s="1">
        <v>46280</v>
      </c>
      <c r="E12" s="4">
        <v>7359.9</v>
      </c>
      <c r="F12" s="4">
        <v>1705.76</v>
      </c>
      <c r="G12" s="4">
        <f t="shared" si="0"/>
        <v>5654.1399999999994</v>
      </c>
      <c r="H12">
        <f t="shared" si="1"/>
        <v>0</v>
      </c>
      <c r="I12" t="str" cm="1">
        <f t="array" ref="I12">_xlfn.IFS(G12&lt;=0,"Paid",H12=0, "Current",H12&lt;=30,"1-30 Days",H12&lt;=60,"31-60 Days",H12&lt;=90,"61-90 Days",TRUE,"90+ Days")</f>
        <v>Current</v>
      </c>
      <c r="J12" t="s">
        <v>15</v>
      </c>
    </row>
    <row r="13" spans="1:13" x14ac:dyDescent="0.2">
      <c r="A13" t="s">
        <v>27</v>
      </c>
      <c r="B13" t="s">
        <v>8</v>
      </c>
      <c r="C13" s="1">
        <v>46232</v>
      </c>
      <c r="D13" s="1">
        <v>46262</v>
      </c>
      <c r="E13" s="4">
        <v>8923.08</v>
      </c>
      <c r="F13" s="4">
        <v>4203.6400000000003</v>
      </c>
      <c r="G13" s="4">
        <f t="shared" si="0"/>
        <v>4719.4399999999996</v>
      </c>
      <c r="H13">
        <f t="shared" si="1"/>
        <v>8</v>
      </c>
      <c r="I13" t="str" cm="1">
        <f t="array" ref="I13">_xlfn.IFS(G13&lt;=0,"Paid",H13=0, "Current",H13&lt;=30,"1-30 Days",H13&lt;=60,"31-60 Days",H13&lt;=90,"61-90 Days",TRUE,"90+ Days")</f>
        <v>1-30 Days</v>
      </c>
      <c r="J13" t="s">
        <v>15</v>
      </c>
    </row>
    <row r="14" spans="1:13" x14ac:dyDescent="0.2">
      <c r="A14" t="s">
        <v>28</v>
      </c>
      <c r="B14" t="s">
        <v>29</v>
      </c>
      <c r="C14" s="1">
        <v>46259</v>
      </c>
      <c r="D14" s="1">
        <v>46304</v>
      </c>
      <c r="E14" s="4">
        <v>6167.75</v>
      </c>
      <c r="F14" s="4">
        <v>2209.1999999999998</v>
      </c>
      <c r="G14" s="4">
        <f t="shared" si="0"/>
        <v>3958.55</v>
      </c>
      <c r="H14">
        <f t="shared" si="1"/>
        <v>0</v>
      </c>
      <c r="I14" t="str" cm="1">
        <f t="array" ref="I14">_xlfn.IFS(G14&lt;=0,"Paid",H14=0, "Current",H14&lt;=30,"1-30 Days",H14&lt;=60,"31-60 Days",H14&lt;=90,"61-90 Days",TRUE,"90+ Days")</f>
        <v>Current</v>
      </c>
      <c r="J14" t="s">
        <v>15</v>
      </c>
    </row>
    <row r="15" spans="1:13" x14ac:dyDescent="0.2">
      <c r="A15" t="s">
        <v>30</v>
      </c>
      <c r="B15" t="s">
        <v>31</v>
      </c>
      <c r="C15" s="1">
        <v>46192</v>
      </c>
      <c r="D15" s="1">
        <v>46222</v>
      </c>
      <c r="E15" s="4">
        <v>7493.09</v>
      </c>
      <c r="F15" s="4">
        <v>0</v>
      </c>
      <c r="G15" s="4">
        <f t="shared" si="0"/>
        <v>7493.09</v>
      </c>
      <c r="H15">
        <f t="shared" si="1"/>
        <v>48</v>
      </c>
      <c r="I15" t="str" cm="1">
        <f t="array" ref="I15">_xlfn.IFS(G15&lt;=0,"Paid",H15=0, "Current",H15&lt;=30,"1-30 Days",H15&lt;=60,"31-60 Days",H15&lt;=90,"61-90 Days",TRUE,"90+ Days")</f>
        <v>31-60 Days</v>
      </c>
      <c r="J15" t="s">
        <v>12</v>
      </c>
    </row>
    <row r="16" spans="1:13" x14ac:dyDescent="0.2">
      <c r="A16" t="s">
        <v>32</v>
      </c>
      <c r="B16" t="s">
        <v>11</v>
      </c>
      <c r="C16" s="1">
        <v>46241</v>
      </c>
      <c r="D16" s="1">
        <v>46271</v>
      </c>
      <c r="E16" s="4">
        <v>7809.24</v>
      </c>
      <c r="F16" s="4">
        <v>0</v>
      </c>
      <c r="G16" s="4">
        <f t="shared" si="0"/>
        <v>7809.24</v>
      </c>
      <c r="H16">
        <f t="shared" si="1"/>
        <v>0</v>
      </c>
      <c r="I16" t="str" cm="1">
        <f t="array" ref="I16">_xlfn.IFS(G16&lt;=0,"Paid",H16=0, "Current",H16&lt;=30,"1-30 Days",H16&lt;=60,"31-60 Days",H16&lt;=90,"61-90 Days",TRUE,"90+ Days")</f>
        <v>Current</v>
      </c>
      <c r="J16" t="s">
        <v>12</v>
      </c>
    </row>
    <row r="17" spans="1:10" x14ac:dyDescent="0.2">
      <c r="A17" t="s">
        <v>33</v>
      </c>
      <c r="B17" t="s">
        <v>34</v>
      </c>
      <c r="C17" s="1">
        <v>46166</v>
      </c>
      <c r="D17" s="1">
        <v>46211</v>
      </c>
      <c r="E17" s="4">
        <v>2035.13</v>
      </c>
      <c r="F17" s="4">
        <v>2035.13</v>
      </c>
      <c r="G17" s="4">
        <f t="shared" si="0"/>
        <v>0</v>
      </c>
      <c r="H17">
        <f t="shared" si="1"/>
        <v>0</v>
      </c>
      <c r="I17" t="str" cm="1">
        <f t="array" ref="I17">_xlfn.IFS(G17&lt;=0,"Paid",H17=0, "Current",H17&lt;=30,"1-30 Days",H17&lt;=60,"31-60 Days",H17&lt;=90,"61-90 Days",TRUE,"90+ Days")</f>
        <v>Paid</v>
      </c>
      <c r="J17" t="s">
        <v>18</v>
      </c>
    </row>
    <row r="18" spans="1:10" x14ac:dyDescent="0.2">
      <c r="A18" t="s">
        <v>36</v>
      </c>
      <c r="B18" t="s">
        <v>14</v>
      </c>
      <c r="C18" s="1">
        <v>46250</v>
      </c>
      <c r="D18" s="1">
        <v>46280</v>
      </c>
      <c r="E18" s="4">
        <v>8821.34</v>
      </c>
      <c r="F18" s="4">
        <v>8821.34</v>
      </c>
      <c r="G18" s="4">
        <f t="shared" si="0"/>
        <v>0</v>
      </c>
      <c r="H18">
        <f t="shared" si="1"/>
        <v>0</v>
      </c>
      <c r="I18" t="str" cm="1">
        <f t="array" ref="I18">_xlfn.IFS(G18&lt;=0,"Paid",H18=0, "Current",H18&lt;=30,"1-30 Days",H18&lt;=60,"31-60 Days",H18&lt;=90,"61-90 Days",TRUE,"90+ Days")</f>
        <v>Paid</v>
      </c>
      <c r="J18" t="s">
        <v>18</v>
      </c>
    </row>
    <row r="19" spans="1:10" x14ac:dyDescent="0.2">
      <c r="A19" t="s">
        <v>37</v>
      </c>
      <c r="B19" t="s">
        <v>11</v>
      </c>
      <c r="C19" s="1">
        <v>46238</v>
      </c>
      <c r="D19" s="1">
        <v>46268</v>
      </c>
      <c r="E19" s="4">
        <v>1584.91</v>
      </c>
      <c r="F19" s="4">
        <v>1584.91</v>
      </c>
      <c r="G19" s="4">
        <f t="shared" si="0"/>
        <v>0</v>
      </c>
      <c r="H19">
        <f t="shared" si="1"/>
        <v>0</v>
      </c>
      <c r="I19" t="str" cm="1">
        <f t="array" ref="I19">_xlfn.IFS(G19&lt;=0,"Paid",H19=0, "Current",H19&lt;=30,"1-30 Days",H19&lt;=60,"31-60 Days",H19&lt;=90,"61-90 Days",TRUE,"90+ Days")</f>
        <v>Paid</v>
      </c>
      <c r="J19" t="s">
        <v>18</v>
      </c>
    </row>
    <row r="20" spans="1:10" x14ac:dyDescent="0.2">
      <c r="A20" t="s">
        <v>39</v>
      </c>
      <c r="B20" t="s">
        <v>31</v>
      </c>
      <c r="C20" s="1">
        <v>46150</v>
      </c>
      <c r="D20" s="1">
        <v>46180</v>
      </c>
      <c r="E20" s="4">
        <v>432.44</v>
      </c>
      <c r="F20" s="4">
        <v>208.22</v>
      </c>
      <c r="G20" s="4">
        <f t="shared" si="0"/>
        <v>224.22</v>
      </c>
      <c r="H20">
        <f t="shared" si="1"/>
        <v>90</v>
      </c>
      <c r="I20" t="str" cm="1">
        <f t="array" ref="I20">_xlfn.IFS(G20&lt;=0,"Paid",H20=0, "Current",H20&lt;=30,"1-30 Days",H20&lt;=60,"31-60 Days",H20&lt;=90,"61-90 Days",TRUE,"90+ Days")</f>
        <v>61-90 Days</v>
      </c>
      <c r="J20" t="s">
        <v>15</v>
      </c>
    </row>
    <row r="21" spans="1:10" x14ac:dyDescent="0.2">
      <c r="A21" t="s">
        <v>40</v>
      </c>
      <c r="B21" t="s">
        <v>25</v>
      </c>
      <c r="C21" s="1">
        <v>46264</v>
      </c>
      <c r="D21" s="1">
        <v>46294</v>
      </c>
      <c r="E21" s="4">
        <v>3577.17</v>
      </c>
      <c r="F21" s="4">
        <v>0</v>
      </c>
      <c r="G21" s="4">
        <f t="shared" si="0"/>
        <v>3577.17</v>
      </c>
      <c r="H21">
        <f t="shared" si="1"/>
        <v>0</v>
      </c>
      <c r="I21" t="str" cm="1">
        <f t="array" ref="I21">_xlfn.IFS(G21&lt;=0,"Paid",H21=0, "Current",H21&lt;=30,"1-30 Days",H21&lt;=60,"31-60 Days",H21&lt;=90,"61-90 Days",TRUE,"90+ Days")</f>
        <v>Current</v>
      </c>
      <c r="J21" t="s">
        <v>12</v>
      </c>
    </row>
    <row r="22" spans="1:10" x14ac:dyDescent="0.2">
      <c r="A22" t="s">
        <v>41</v>
      </c>
      <c r="B22" t="s">
        <v>11</v>
      </c>
      <c r="C22" s="1">
        <v>46236</v>
      </c>
      <c r="D22" s="1">
        <v>46266</v>
      </c>
      <c r="E22" s="4">
        <v>8223.9599999999991</v>
      </c>
      <c r="F22" s="4">
        <v>0</v>
      </c>
      <c r="G22" s="4">
        <f t="shared" si="0"/>
        <v>8223.9599999999991</v>
      </c>
      <c r="H22">
        <f t="shared" si="1"/>
        <v>4</v>
      </c>
      <c r="I22" t="str" cm="1">
        <f t="array" ref="I22">_xlfn.IFS(G22&lt;=0,"Paid",H22=0, "Current",H22&lt;=30,"1-30 Days",H22&lt;=60,"31-60 Days",H22&lt;=90,"61-90 Days",TRUE,"90+ Days")</f>
        <v>1-30 Days</v>
      </c>
      <c r="J22" t="s">
        <v>12</v>
      </c>
    </row>
    <row r="23" spans="1:10" x14ac:dyDescent="0.2">
      <c r="A23" t="s">
        <v>43</v>
      </c>
      <c r="B23" t="s">
        <v>44</v>
      </c>
      <c r="C23" s="1">
        <v>46153</v>
      </c>
      <c r="D23" s="1">
        <v>46183</v>
      </c>
      <c r="E23" s="4">
        <v>8054.09</v>
      </c>
      <c r="F23" s="4">
        <v>8054.09</v>
      </c>
      <c r="G23" s="4">
        <f t="shared" si="0"/>
        <v>0</v>
      </c>
      <c r="H23">
        <f t="shared" si="1"/>
        <v>0</v>
      </c>
      <c r="I23" t="str" cm="1">
        <f t="array" ref="I23">_xlfn.IFS(G23&lt;=0,"Paid",H23=0, "Current",H23&lt;=30,"1-30 Days",H23&lt;=60,"31-60 Days",H23&lt;=90,"61-90 Days",TRUE,"90+ Days")</f>
        <v>Paid</v>
      </c>
      <c r="J23" t="s">
        <v>18</v>
      </c>
    </row>
    <row r="24" spans="1:10" x14ac:dyDescent="0.2">
      <c r="A24" t="s">
        <v>45</v>
      </c>
      <c r="B24" t="s">
        <v>8</v>
      </c>
      <c r="C24" s="1">
        <v>46151</v>
      </c>
      <c r="D24" s="1">
        <v>46211</v>
      </c>
      <c r="E24" s="4">
        <v>7034.1</v>
      </c>
      <c r="F24" s="4">
        <v>0</v>
      </c>
      <c r="G24" s="4">
        <f t="shared" si="0"/>
        <v>7034.1</v>
      </c>
      <c r="H24">
        <f t="shared" si="1"/>
        <v>59</v>
      </c>
      <c r="I24" t="str" cm="1">
        <f t="array" ref="I24">_xlfn.IFS(G24&lt;=0,"Paid",H24=0, "Current",H24&lt;=30,"1-30 Days",H24&lt;=60,"31-60 Days",H24&lt;=90,"61-90 Days",TRUE,"90+ Days")</f>
        <v>31-60 Days</v>
      </c>
      <c r="J24" t="s">
        <v>12</v>
      </c>
    </row>
    <row r="25" spans="1:10" x14ac:dyDescent="0.2">
      <c r="A25" t="s">
        <v>46</v>
      </c>
      <c r="B25" t="s">
        <v>17</v>
      </c>
      <c r="C25" s="1">
        <v>46217</v>
      </c>
      <c r="D25" s="1">
        <v>46247</v>
      </c>
      <c r="E25" s="4">
        <v>-410</v>
      </c>
      <c r="F25" s="4">
        <v>0</v>
      </c>
      <c r="G25" s="4">
        <f t="shared" si="0"/>
        <v>-410</v>
      </c>
      <c r="H25">
        <f t="shared" si="1"/>
        <v>0</v>
      </c>
      <c r="I25" t="str" cm="1">
        <f t="array" ref="I25">_xlfn.IFS(G25&lt;=0,"Paid",H25=0, "Current",H25&lt;=30,"1-30 Days",H25&lt;=60,"31-60 Days",H25&lt;=90,"61-90 Days",TRUE,"90+ Days")</f>
        <v>Paid</v>
      </c>
      <c r="J25" t="s">
        <v>12</v>
      </c>
    </row>
    <row r="26" spans="1:10" x14ac:dyDescent="0.2">
      <c r="A26" t="s">
        <v>47</v>
      </c>
      <c r="B26" t="s">
        <v>25</v>
      </c>
      <c r="C26" s="1">
        <v>46215</v>
      </c>
      <c r="D26" s="1">
        <v>46245</v>
      </c>
      <c r="E26" s="4">
        <v>2815.12</v>
      </c>
      <c r="F26" s="4">
        <v>2815.12</v>
      </c>
      <c r="G26" s="4">
        <f t="shared" si="0"/>
        <v>0</v>
      </c>
      <c r="H26">
        <f t="shared" si="1"/>
        <v>0</v>
      </c>
      <c r="I26" t="str" cm="1">
        <f t="array" ref="I26">_xlfn.IFS(G26&lt;=0,"Paid",H26=0, "Current",H26&lt;=30,"1-30 Days",H26&lt;=60,"31-60 Days",H26&lt;=90,"61-90 Days",TRUE,"90+ Days")</f>
        <v>Paid</v>
      </c>
      <c r="J26" t="s">
        <v>18</v>
      </c>
    </row>
    <row r="27" spans="1:10" x14ac:dyDescent="0.2">
      <c r="A27" t="s">
        <v>49</v>
      </c>
      <c r="B27" t="s">
        <v>14</v>
      </c>
      <c r="C27" s="1">
        <v>46192</v>
      </c>
      <c r="D27" s="1">
        <v>46222</v>
      </c>
      <c r="E27" s="4">
        <v>6700.87</v>
      </c>
      <c r="F27" s="4">
        <v>6700.87</v>
      </c>
      <c r="G27" s="4">
        <f t="shared" si="0"/>
        <v>0</v>
      </c>
      <c r="H27">
        <f t="shared" si="1"/>
        <v>0</v>
      </c>
      <c r="I27" t="str" cm="1">
        <f t="array" ref="I27">_xlfn.IFS(G27&lt;=0,"Paid",H27=0, "Current",H27&lt;=30,"1-30 Days",H27&lt;=60,"31-60 Days",H27&lt;=90,"61-90 Days",TRUE,"90+ Days")</f>
        <v>Paid</v>
      </c>
      <c r="J27" t="s">
        <v>18</v>
      </c>
    </row>
    <row r="28" spans="1:10" x14ac:dyDescent="0.2">
      <c r="A28" t="s">
        <v>50</v>
      </c>
      <c r="B28" t="s">
        <v>51</v>
      </c>
      <c r="C28" s="1">
        <v>46176</v>
      </c>
      <c r="D28" s="1">
        <v>46206</v>
      </c>
      <c r="E28" s="4">
        <v>7435.24</v>
      </c>
      <c r="F28" s="4">
        <v>7435.24</v>
      </c>
      <c r="G28" s="4">
        <f t="shared" si="0"/>
        <v>0</v>
      </c>
      <c r="H28">
        <f t="shared" si="1"/>
        <v>0</v>
      </c>
      <c r="I28" t="str" cm="1">
        <f t="array" ref="I28">_xlfn.IFS(G28&lt;=0,"Paid",H28=0, "Current",H28&lt;=30,"1-30 Days",H28&lt;=60,"31-60 Days",H28&lt;=90,"61-90 Days",TRUE,"90+ Days")</f>
        <v>Paid</v>
      </c>
      <c r="J28" t="s">
        <v>18</v>
      </c>
    </row>
    <row r="29" spans="1:10" x14ac:dyDescent="0.2">
      <c r="A29" t="s">
        <v>52</v>
      </c>
      <c r="B29" t="s">
        <v>29</v>
      </c>
      <c r="C29" s="1">
        <v>46188</v>
      </c>
      <c r="D29" s="1">
        <v>46218</v>
      </c>
      <c r="E29" s="4">
        <v>5077.1400000000003</v>
      </c>
      <c r="F29" s="4">
        <v>5077.1400000000003</v>
      </c>
      <c r="G29" s="4">
        <f t="shared" si="0"/>
        <v>0</v>
      </c>
      <c r="H29">
        <f t="shared" si="1"/>
        <v>0</v>
      </c>
      <c r="I29" t="str" cm="1">
        <f t="array" ref="I29">_xlfn.IFS(G29&lt;=0,"Paid",H29=0, "Current",H29&lt;=30,"1-30 Days",H29&lt;=60,"31-60 Days",H29&lt;=90,"61-90 Days",TRUE,"90+ Days")</f>
        <v>Paid</v>
      </c>
      <c r="J29" t="s">
        <v>18</v>
      </c>
    </row>
    <row r="30" spans="1:10" x14ac:dyDescent="0.2">
      <c r="A30" t="s">
        <v>53</v>
      </c>
      <c r="B30" t="s">
        <v>17</v>
      </c>
      <c r="C30" s="1">
        <v>46156</v>
      </c>
      <c r="D30" s="1">
        <v>46186</v>
      </c>
      <c r="E30" s="4">
        <v>5178.47</v>
      </c>
      <c r="F30" s="4">
        <v>0</v>
      </c>
      <c r="G30" s="4">
        <f t="shared" si="0"/>
        <v>5178.47</v>
      </c>
      <c r="H30">
        <f t="shared" si="1"/>
        <v>84</v>
      </c>
      <c r="I30" t="str" cm="1">
        <f t="array" ref="I30">_xlfn.IFS(G30&lt;=0,"Paid",H30=0, "Current",H30&lt;=30,"1-30 Days",H30&lt;=60,"31-60 Days",H30&lt;=90,"61-90 Days",TRUE,"90+ Days")</f>
        <v>61-90 Days</v>
      </c>
      <c r="J30" t="s">
        <v>12</v>
      </c>
    </row>
    <row r="31" spans="1:10" x14ac:dyDescent="0.2">
      <c r="A31" t="s">
        <v>54</v>
      </c>
      <c r="B31" t="s">
        <v>51</v>
      </c>
      <c r="C31" s="1">
        <v>46236</v>
      </c>
      <c r="D31" s="1">
        <v>46281</v>
      </c>
      <c r="E31" s="4">
        <v>2874.46</v>
      </c>
      <c r="F31" s="4">
        <v>0</v>
      </c>
      <c r="G31" s="4">
        <f t="shared" si="0"/>
        <v>2874.46</v>
      </c>
      <c r="H31">
        <f t="shared" si="1"/>
        <v>0</v>
      </c>
      <c r="I31" t="str" cm="1">
        <f t="array" ref="I31">_xlfn.IFS(G31&lt;=0,"Paid",H31=0, "Current",H31&lt;=30,"1-30 Days",H31&lt;=60,"31-60 Days",H31&lt;=90,"61-90 Days",TRUE,"90+ Days")</f>
        <v>Current</v>
      </c>
      <c r="J31" t="s">
        <v>12</v>
      </c>
    </row>
    <row r="32" spans="1:10" x14ac:dyDescent="0.2">
      <c r="A32" t="s">
        <v>55</v>
      </c>
      <c r="B32" t="s">
        <v>44</v>
      </c>
      <c r="C32" s="1">
        <v>46242</v>
      </c>
      <c r="D32" s="1">
        <v>46302</v>
      </c>
      <c r="E32" s="4">
        <v>2697.02</v>
      </c>
      <c r="F32" s="4">
        <v>0</v>
      </c>
      <c r="G32" s="4">
        <f t="shared" si="0"/>
        <v>2697.02</v>
      </c>
      <c r="H32">
        <f t="shared" si="1"/>
        <v>0</v>
      </c>
      <c r="I32" t="str" cm="1">
        <f t="array" ref="I32">_xlfn.IFS(G32&lt;=0,"Paid",H32=0, "Current",H32&lt;=30,"1-30 Days",H32&lt;=60,"31-60 Days",H32&lt;=90,"61-90 Days",TRUE,"90+ Days")</f>
        <v>Current</v>
      </c>
      <c r="J32" t="s">
        <v>12</v>
      </c>
    </row>
    <row r="33" spans="1:10" x14ac:dyDescent="0.2">
      <c r="A33" t="s">
        <v>56</v>
      </c>
      <c r="B33" t="s">
        <v>21</v>
      </c>
      <c r="C33" s="1">
        <v>46240</v>
      </c>
      <c r="D33" s="1">
        <v>46300</v>
      </c>
      <c r="E33" s="4">
        <v>5677.87</v>
      </c>
      <c r="F33" s="4">
        <v>3168.31</v>
      </c>
      <c r="G33" s="4">
        <f t="shared" si="0"/>
        <v>2509.56</v>
      </c>
      <c r="H33">
        <f t="shared" si="1"/>
        <v>0</v>
      </c>
      <c r="I33" t="str" cm="1">
        <f t="array" ref="I33">_xlfn.IFS(G33&lt;=0,"Paid",H33=0, "Current",H33&lt;=30,"1-30 Days",H33&lt;=60,"31-60 Days",H33&lt;=90,"61-90 Days",TRUE,"90+ Days")</f>
        <v>Current</v>
      </c>
      <c r="J33" t="s">
        <v>15</v>
      </c>
    </row>
    <row r="34" spans="1:10" x14ac:dyDescent="0.2">
      <c r="A34" t="s">
        <v>58</v>
      </c>
      <c r="B34" t="s">
        <v>17</v>
      </c>
      <c r="C34" s="1">
        <v>46193</v>
      </c>
      <c r="D34" s="1">
        <v>46223</v>
      </c>
      <c r="E34" s="4">
        <v>6325.63</v>
      </c>
      <c r="F34" s="4">
        <v>6325.63</v>
      </c>
      <c r="G34" s="4">
        <f t="shared" si="0"/>
        <v>0</v>
      </c>
      <c r="H34">
        <f t="shared" si="1"/>
        <v>0</v>
      </c>
      <c r="I34" t="str" cm="1">
        <f t="array" ref="I34">_xlfn.IFS(G34&lt;=0,"Paid",H34=0, "Current",H34&lt;=30,"1-30 Days",H34&lt;=60,"31-60 Days",H34&lt;=90,"61-90 Days",TRUE,"90+ Days")</f>
        <v>Paid</v>
      </c>
      <c r="J34" t="s">
        <v>18</v>
      </c>
    </row>
    <row r="35" spans="1:10" x14ac:dyDescent="0.2">
      <c r="A35" t="s">
        <v>59</v>
      </c>
      <c r="B35" t="s">
        <v>31</v>
      </c>
      <c r="C35" s="1">
        <v>46163</v>
      </c>
      <c r="D35" s="1">
        <v>46223</v>
      </c>
      <c r="E35" s="4">
        <v>6576.33</v>
      </c>
      <c r="F35" s="4">
        <v>4561.45</v>
      </c>
      <c r="G35" s="4">
        <f t="shared" si="0"/>
        <v>2014.88</v>
      </c>
      <c r="H35">
        <f t="shared" si="1"/>
        <v>47</v>
      </c>
      <c r="I35" t="str" cm="1">
        <f t="array" ref="I35">_xlfn.IFS(G35&lt;=0,"Paid",H35=0, "Current",H35&lt;=30,"1-30 Days",H35&lt;=60,"31-60 Days",H35&lt;=90,"61-90 Days",TRUE,"90+ Days")</f>
        <v>31-60 Days</v>
      </c>
      <c r="J35" t="s">
        <v>15</v>
      </c>
    </row>
    <row r="36" spans="1:10" x14ac:dyDescent="0.2">
      <c r="A36" t="s">
        <v>61</v>
      </c>
      <c r="B36" t="s">
        <v>44</v>
      </c>
      <c r="C36" s="1">
        <v>46171</v>
      </c>
      <c r="D36" s="1">
        <v>46201</v>
      </c>
      <c r="E36" s="4">
        <v>1486.26</v>
      </c>
      <c r="F36" s="4">
        <v>705.83</v>
      </c>
      <c r="G36" s="4">
        <f t="shared" si="0"/>
        <v>780.43</v>
      </c>
      <c r="H36">
        <f t="shared" si="1"/>
        <v>69</v>
      </c>
      <c r="I36" t="str" cm="1">
        <f t="array" ref="I36">_xlfn.IFS(G36&lt;=0,"Paid",H36=0, "Current",H36&lt;=30,"1-30 Days",H36&lt;=60,"31-60 Days",H36&lt;=90,"61-90 Days",TRUE,"90+ Days")</f>
        <v>61-90 Days</v>
      </c>
      <c r="J36" t="s">
        <v>15</v>
      </c>
    </row>
    <row r="37" spans="1:10" x14ac:dyDescent="0.2">
      <c r="A37" t="s">
        <v>62</v>
      </c>
      <c r="B37" t="s">
        <v>29</v>
      </c>
      <c r="C37" s="1">
        <v>46199</v>
      </c>
      <c r="D37" s="1">
        <v>46229</v>
      </c>
      <c r="E37" s="4">
        <v>5557.7</v>
      </c>
      <c r="F37" s="4">
        <v>5557.7</v>
      </c>
      <c r="G37" s="4">
        <f t="shared" si="0"/>
        <v>0</v>
      </c>
      <c r="H37">
        <f t="shared" si="1"/>
        <v>0</v>
      </c>
      <c r="I37" t="str" cm="1">
        <f t="array" ref="I37">_xlfn.IFS(G37&lt;=0,"Paid",H37=0, "Current",H37&lt;=30,"1-30 Days",H37&lt;=60,"31-60 Days",H37&lt;=90,"61-90 Days",TRUE,"90+ Days")</f>
        <v>Paid</v>
      </c>
      <c r="J37" t="s">
        <v>18</v>
      </c>
    </row>
    <row r="38" spans="1:10" x14ac:dyDescent="0.2">
      <c r="A38" t="s">
        <v>63</v>
      </c>
      <c r="B38" t="s">
        <v>21</v>
      </c>
      <c r="C38" s="1">
        <v>46200</v>
      </c>
      <c r="D38" s="1">
        <v>46230</v>
      </c>
      <c r="E38" s="4">
        <v>8925.6200000000008</v>
      </c>
      <c r="F38" s="4">
        <v>0</v>
      </c>
      <c r="G38" s="4">
        <f t="shared" si="0"/>
        <v>8925.6200000000008</v>
      </c>
      <c r="H38">
        <f t="shared" si="1"/>
        <v>40</v>
      </c>
      <c r="I38" t="str" cm="1">
        <f t="array" ref="I38">_xlfn.IFS(G38&lt;=0,"Paid",H38=0, "Current",H38&lt;=30,"1-30 Days",H38&lt;=60,"31-60 Days",H38&lt;=90,"61-90 Days",TRUE,"90+ Days")</f>
        <v>31-60 Days</v>
      </c>
      <c r="J38" t="s">
        <v>12</v>
      </c>
    </row>
    <row r="39" spans="1:10" x14ac:dyDescent="0.2">
      <c r="A39" t="s">
        <v>64</v>
      </c>
      <c r="B39" t="s">
        <v>29</v>
      </c>
      <c r="C39" s="1">
        <v>46218</v>
      </c>
      <c r="D39" s="1">
        <v>46248</v>
      </c>
      <c r="E39" s="4">
        <v>2290.9899999999998</v>
      </c>
      <c r="F39" s="4">
        <v>0</v>
      </c>
      <c r="G39" s="4">
        <f t="shared" si="0"/>
        <v>2290.9899999999998</v>
      </c>
      <c r="H39">
        <f t="shared" si="1"/>
        <v>22</v>
      </c>
      <c r="I39" t="str" cm="1">
        <f t="array" ref="I39">_xlfn.IFS(G39&lt;=0,"Paid",H39=0, "Current",H39&lt;=30,"1-30 Days",H39&lt;=60,"31-60 Days",H39&lt;=90,"61-90 Days",TRUE,"90+ Days")</f>
        <v>1-30 Days</v>
      </c>
      <c r="J39" t="s">
        <v>12</v>
      </c>
    </row>
    <row r="40" spans="1:10" x14ac:dyDescent="0.2">
      <c r="A40" t="s">
        <v>65</v>
      </c>
      <c r="B40" t="s">
        <v>44</v>
      </c>
      <c r="C40" s="1">
        <v>46237</v>
      </c>
      <c r="D40" s="1">
        <v>46297</v>
      </c>
      <c r="E40" s="4">
        <v>7967.9</v>
      </c>
      <c r="F40" s="4">
        <v>7967.9</v>
      </c>
      <c r="G40" s="4">
        <f t="shared" si="0"/>
        <v>0</v>
      </c>
      <c r="H40">
        <f t="shared" si="1"/>
        <v>0</v>
      </c>
      <c r="I40" t="str" cm="1">
        <f t="array" ref="I40">_xlfn.IFS(G40&lt;=0,"Paid",H40=0, "Current",H40&lt;=30,"1-30 Days",H40&lt;=60,"31-60 Days",H40&lt;=90,"61-90 Days",TRUE,"90+ Days")</f>
        <v>Paid</v>
      </c>
      <c r="J40" t="s">
        <v>18</v>
      </c>
    </row>
    <row r="41" spans="1:10" x14ac:dyDescent="0.2">
      <c r="A41" t="s">
        <v>66</v>
      </c>
      <c r="B41" t="s">
        <v>51</v>
      </c>
      <c r="C41" s="1">
        <v>46207</v>
      </c>
      <c r="D41" s="1">
        <v>46252</v>
      </c>
      <c r="E41" s="4">
        <v>2241.66</v>
      </c>
      <c r="F41" s="4">
        <v>514.04999999999995</v>
      </c>
      <c r="G41" s="4">
        <f t="shared" si="0"/>
        <v>1727.61</v>
      </c>
      <c r="H41">
        <f t="shared" si="1"/>
        <v>18</v>
      </c>
      <c r="I41" t="str" cm="1">
        <f t="array" ref="I41">_xlfn.IFS(G41&lt;=0,"Paid",H41=0, "Current",H41&lt;=30,"1-30 Days",H41&lt;=60,"31-60 Days",H41&lt;=90,"61-90 Days",TRUE,"90+ Days")</f>
        <v>1-30 Days</v>
      </c>
      <c r="J41" t="s">
        <v>15</v>
      </c>
    </row>
    <row r="42" spans="1:10" x14ac:dyDescent="0.2">
      <c r="A42" t="s">
        <v>67</v>
      </c>
      <c r="B42" t="s">
        <v>34</v>
      </c>
      <c r="C42" s="1">
        <v>46194</v>
      </c>
      <c r="D42" s="1">
        <v>46224</v>
      </c>
      <c r="E42" s="4">
        <v>7513.46</v>
      </c>
      <c r="F42" s="4">
        <v>7513.46</v>
      </c>
      <c r="G42" s="4">
        <f t="shared" si="0"/>
        <v>0</v>
      </c>
      <c r="H42">
        <f t="shared" si="1"/>
        <v>0</v>
      </c>
      <c r="I42" t="str" cm="1">
        <f t="array" ref="I42">_xlfn.IFS(G42&lt;=0,"Paid",H42=0, "Current",H42&lt;=30,"1-30 Days",H42&lt;=60,"31-60 Days",H42&lt;=90,"61-90 Days",TRUE,"90+ Days")</f>
        <v>Paid</v>
      </c>
      <c r="J42" t="s">
        <v>18</v>
      </c>
    </row>
    <row r="43" spans="1:10" x14ac:dyDescent="0.2">
      <c r="A43" t="s">
        <v>68</v>
      </c>
      <c r="B43" t="s">
        <v>8</v>
      </c>
      <c r="C43" s="1">
        <v>46200</v>
      </c>
      <c r="D43" s="1">
        <v>46230</v>
      </c>
      <c r="E43" s="4">
        <v>6751.67</v>
      </c>
      <c r="F43" s="4">
        <v>0</v>
      </c>
      <c r="G43" s="4">
        <f t="shared" si="0"/>
        <v>6751.67</v>
      </c>
      <c r="H43">
        <f t="shared" si="1"/>
        <v>40</v>
      </c>
      <c r="I43" t="str" cm="1">
        <f t="array" ref="I43">_xlfn.IFS(G43&lt;=0,"Paid",H43=0, "Current",H43&lt;=30,"1-30 Days",H43&lt;=60,"31-60 Days",H43&lt;=90,"61-90 Days",TRUE,"90+ Days")</f>
        <v>31-60 Days</v>
      </c>
      <c r="J43" t="s">
        <v>12</v>
      </c>
    </row>
    <row r="44" spans="1:10" x14ac:dyDescent="0.2">
      <c r="A44" t="s">
        <v>69</v>
      </c>
      <c r="B44" t="s">
        <v>21</v>
      </c>
      <c r="C44" s="1">
        <v>46171</v>
      </c>
      <c r="D44" s="1">
        <v>46201</v>
      </c>
      <c r="E44" s="4">
        <v>9069.2099999999991</v>
      </c>
      <c r="F44" s="4">
        <v>0</v>
      </c>
      <c r="G44" s="4">
        <f t="shared" si="0"/>
        <v>9069.2099999999991</v>
      </c>
      <c r="H44">
        <f t="shared" si="1"/>
        <v>69</v>
      </c>
      <c r="I44" t="str" cm="1">
        <f t="array" ref="I44">_xlfn.IFS(G44&lt;=0,"Paid",H44=0, "Current",H44&lt;=30,"1-30 Days",H44&lt;=60,"31-60 Days",H44&lt;=90,"61-90 Days",TRUE,"90+ Days")</f>
        <v>61-90 Days</v>
      </c>
      <c r="J44" t="s">
        <v>12</v>
      </c>
    </row>
    <row r="45" spans="1:10" x14ac:dyDescent="0.2">
      <c r="A45" t="s">
        <v>19</v>
      </c>
      <c r="B45" t="s">
        <v>31</v>
      </c>
      <c r="C45" s="1">
        <v>46261</v>
      </c>
      <c r="D45" s="1">
        <v>46291</v>
      </c>
      <c r="E45" s="4">
        <v>8431.25</v>
      </c>
      <c r="F45" s="4">
        <v>4712.71</v>
      </c>
      <c r="G45" s="4">
        <f t="shared" si="0"/>
        <v>3718.54</v>
      </c>
      <c r="H45">
        <f t="shared" si="1"/>
        <v>0</v>
      </c>
      <c r="I45" t="str" cm="1">
        <f t="array" ref="I45">_xlfn.IFS(G45&lt;=0,"Paid",H45=0, "Current",H45&lt;=30,"1-30 Days",H45&lt;=60,"31-60 Days",H45&lt;=90,"61-90 Days",TRUE,"90+ Days")</f>
        <v>Current</v>
      </c>
      <c r="J45" t="s">
        <v>15</v>
      </c>
    </row>
    <row r="46" spans="1:10" x14ac:dyDescent="0.2">
      <c r="A46" t="s">
        <v>70</v>
      </c>
      <c r="B46" t="s">
        <v>31</v>
      </c>
      <c r="C46" s="1">
        <v>46200</v>
      </c>
      <c r="D46" s="1">
        <v>46260</v>
      </c>
      <c r="E46" s="4">
        <v>8478.67</v>
      </c>
      <c r="F46" s="4">
        <v>3767.1</v>
      </c>
      <c r="G46" s="4">
        <f t="shared" si="0"/>
        <v>4711.57</v>
      </c>
      <c r="H46">
        <f t="shared" si="1"/>
        <v>10</v>
      </c>
      <c r="I46" t="str" cm="1">
        <f t="array" ref="I46">_xlfn.IFS(G46&lt;=0,"Paid",H46=0, "Current",H46&lt;=30,"1-30 Days",H46&lt;=60,"31-60 Days",H46&lt;=90,"61-90 Days",TRUE,"90+ Days")</f>
        <v>1-30 Days</v>
      </c>
      <c r="J46" t="s">
        <v>15</v>
      </c>
    </row>
    <row r="47" spans="1:10" x14ac:dyDescent="0.2">
      <c r="A47" t="s">
        <v>48</v>
      </c>
      <c r="B47" t="s">
        <v>11</v>
      </c>
      <c r="C47" s="1">
        <v>46214</v>
      </c>
      <c r="D47" s="1">
        <v>46244</v>
      </c>
      <c r="E47" s="4">
        <v>4365.45</v>
      </c>
      <c r="F47" s="4">
        <v>0</v>
      </c>
      <c r="G47" s="4">
        <f t="shared" si="0"/>
        <v>4365.45</v>
      </c>
      <c r="H47">
        <f t="shared" si="1"/>
        <v>26</v>
      </c>
      <c r="I47" t="str" cm="1">
        <f t="array" ref="I47">_xlfn.IFS(G47&lt;=0,"Paid",H47=0, "Current",H47&lt;=30,"1-30 Days",H47&lt;=60,"31-60 Days",H47&lt;=90,"61-90 Days",TRUE,"90+ Days")</f>
        <v>1-30 Days</v>
      </c>
      <c r="J47" t="s">
        <v>12</v>
      </c>
    </row>
    <row r="48" spans="1:10" x14ac:dyDescent="0.2">
      <c r="A48" t="s">
        <v>71</v>
      </c>
      <c r="B48" t="s">
        <v>14</v>
      </c>
      <c r="C48" s="1">
        <v>46154</v>
      </c>
      <c r="D48" s="1">
        <v>46184</v>
      </c>
      <c r="E48" s="4">
        <v>1166.8399999999999</v>
      </c>
      <c r="F48" s="4">
        <v>394.79</v>
      </c>
      <c r="G48" s="4">
        <f t="shared" si="0"/>
        <v>772.05</v>
      </c>
      <c r="H48">
        <f t="shared" si="1"/>
        <v>86</v>
      </c>
      <c r="I48" t="str" cm="1">
        <f t="array" ref="I48">_xlfn.IFS(G48&lt;=0,"Paid",H48=0, "Current",H48&lt;=30,"1-30 Days",H48&lt;=60,"31-60 Days",H48&lt;=90,"61-90 Days",TRUE,"90+ Days")</f>
        <v>61-90 Days</v>
      </c>
      <c r="J48" t="s">
        <v>15</v>
      </c>
    </row>
    <row r="49" spans="1:10" x14ac:dyDescent="0.2">
      <c r="A49" t="s">
        <v>72</v>
      </c>
      <c r="B49" t="s">
        <v>51</v>
      </c>
      <c r="C49" s="1">
        <v>46210</v>
      </c>
      <c r="D49" s="1">
        <v>46240</v>
      </c>
      <c r="E49" s="4">
        <v>6309.28</v>
      </c>
      <c r="F49" s="4">
        <v>0</v>
      </c>
      <c r="G49" s="4">
        <f t="shared" si="0"/>
        <v>6309.28</v>
      </c>
      <c r="H49">
        <f t="shared" si="1"/>
        <v>30</v>
      </c>
      <c r="I49" t="str" cm="1">
        <f t="array" ref="I49">_xlfn.IFS(G49&lt;=0,"Paid",H49=0, "Current",H49&lt;=30,"1-30 Days",H49&lt;=60,"31-60 Days",H49&lt;=90,"61-90 Days",TRUE,"90+ Days")</f>
        <v>1-30 Days</v>
      </c>
      <c r="J49" t="s">
        <v>12</v>
      </c>
    </row>
    <row r="50" spans="1:10" x14ac:dyDescent="0.2">
      <c r="A50" t="s">
        <v>73</v>
      </c>
      <c r="B50" t="s">
        <v>11</v>
      </c>
      <c r="C50" s="1">
        <v>46213</v>
      </c>
      <c r="D50" s="1">
        <v>46273</v>
      </c>
      <c r="E50" s="4">
        <v>4345.6499999999996</v>
      </c>
      <c r="F50" s="4">
        <v>4345.6499999999996</v>
      </c>
      <c r="G50" s="4">
        <f t="shared" si="0"/>
        <v>0</v>
      </c>
      <c r="H50">
        <f t="shared" si="1"/>
        <v>0</v>
      </c>
      <c r="I50" t="str" cm="1">
        <f t="array" ref="I50">_xlfn.IFS(G50&lt;=0,"Paid",H50=0, "Current",H50&lt;=30,"1-30 Days",H50&lt;=60,"31-60 Days",H50&lt;=90,"61-90 Days",TRUE,"90+ Days")</f>
        <v>Paid</v>
      </c>
      <c r="J50" t="s">
        <v>18</v>
      </c>
    </row>
    <row r="51" spans="1:10" x14ac:dyDescent="0.2">
      <c r="A51" t="s">
        <v>74</v>
      </c>
      <c r="B51" t="s">
        <v>8</v>
      </c>
      <c r="C51" s="1">
        <v>46159</v>
      </c>
      <c r="D51" s="1">
        <v>46189</v>
      </c>
      <c r="E51" s="4">
        <v>8989.42</v>
      </c>
      <c r="F51" s="4">
        <v>0</v>
      </c>
      <c r="G51" s="4">
        <f t="shared" si="0"/>
        <v>8989.42</v>
      </c>
      <c r="H51">
        <f t="shared" si="1"/>
        <v>81</v>
      </c>
      <c r="I51" t="str" cm="1">
        <f t="array" ref="I51">_xlfn.IFS(G51&lt;=0,"Paid",H51=0, "Current",H51&lt;=30,"1-30 Days",H51&lt;=60,"31-60 Days",H51&lt;=90,"61-90 Days",TRUE,"90+ Days")</f>
        <v>61-90 Days</v>
      </c>
      <c r="J51" t="s">
        <v>12</v>
      </c>
    </row>
    <row r="52" spans="1:10" x14ac:dyDescent="0.2">
      <c r="A52" t="s">
        <v>75</v>
      </c>
      <c r="B52" t="s">
        <v>51</v>
      </c>
      <c r="C52" s="1">
        <v>46156</v>
      </c>
      <c r="D52" s="1">
        <v>46201</v>
      </c>
      <c r="E52" s="4">
        <v>1614.41</v>
      </c>
      <c r="F52" s="4">
        <v>1614.41</v>
      </c>
      <c r="G52" s="4">
        <f t="shared" si="0"/>
        <v>0</v>
      </c>
      <c r="H52">
        <f t="shared" si="1"/>
        <v>0</v>
      </c>
      <c r="I52" t="str" cm="1">
        <f t="array" ref="I52">_xlfn.IFS(G52&lt;=0,"Paid",H52=0, "Current",H52&lt;=30,"1-30 Days",H52&lt;=60,"31-60 Days",H52&lt;=90,"61-90 Days",TRUE,"90+ Days")</f>
        <v>Paid</v>
      </c>
      <c r="J52" t="s">
        <v>18</v>
      </c>
    </row>
    <row r="53" spans="1:10" x14ac:dyDescent="0.2">
      <c r="A53" s="3" t="s">
        <v>95</v>
      </c>
      <c r="G53" s="6">
        <f>SUM(G4:G52)</f>
        <v>133088.53999999998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0FB6-4F93-824C-A742-AE9AD27C3AF9}">
  <dimension ref="A1:G15"/>
  <sheetViews>
    <sheetView zoomScale="130" zoomScaleNormal="130"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25.5" bestFit="1" customWidth="1"/>
    <col min="7" max="7" width="15.6640625" bestFit="1" customWidth="1"/>
  </cols>
  <sheetData>
    <row r="1" spans="1:7" x14ac:dyDescent="0.2">
      <c r="A1" s="3" t="s">
        <v>77</v>
      </c>
      <c r="B1" s="5">
        <v>46270</v>
      </c>
    </row>
    <row r="3" spans="1:7" x14ac:dyDescent="0.2">
      <c r="A3" s="3" t="s">
        <v>79</v>
      </c>
      <c r="B3" s="3" t="s">
        <v>89</v>
      </c>
      <c r="C3" s="3" t="s">
        <v>90</v>
      </c>
      <c r="D3" s="3" t="s">
        <v>94</v>
      </c>
      <c r="E3" s="3" t="s">
        <v>91</v>
      </c>
      <c r="F3" s="3" t="s">
        <v>92</v>
      </c>
      <c r="G3" s="3" t="s">
        <v>93</v>
      </c>
    </row>
    <row r="4" spans="1:7" x14ac:dyDescent="0.2">
      <c r="A4" t="s">
        <v>8</v>
      </c>
      <c r="B4" s="4">
        <f>SUMIFS('Cleaned Data'!$G$4:$G$52,'Cleaned Data'!$B$4:$B$52,'Aging Summary'!$A4,'Cleaned Data'!$I$4:$I$52,'Aging Summary'!B$3)</f>
        <v>0</v>
      </c>
      <c r="C4" s="4">
        <f>SUMIFS('Cleaned Data'!$G$4:$G$52,'Cleaned Data'!$B$4:$B$52,'Aging Summary'!$A4,'Cleaned Data'!$I$4:$I$52,'Aging Summary'!C$3)</f>
        <v>4719.4399999999996</v>
      </c>
      <c r="D4" s="4">
        <f>SUMIFS('Cleaned Data'!$G$4:$G$52,'Cleaned Data'!$B$4:$B$52,'Aging Summary'!$A4,'Cleaned Data'!$I$4:$I$52,'Aging Summary'!D$3)</f>
        <v>13785.77</v>
      </c>
      <c r="E4" s="4">
        <f>SUMIFS('Cleaned Data'!$G$4:$G$52,'Cleaned Data'!$B$4:$B$52,'Aging Summary'!$A4,'Cleaned Data'!$I$4:$I$52,'Aging Summary'!E$3)</f>
        <v>8989.42</v>
      </c>
      <c r="F4" s="4">
        <f>SUMIFS('Cleaned Data'!$G$4:$G$52,'Cleaned Data'!$B$4:$B$52,'Aging Summary'!$A4,'Cleaned Data'!$I$4:$I$52,'Aging Summary'!F$3)</f>
        <v>0</v>
      </c>
      <c r="G4" s="4">
        <f>SUM(B4:F4)</f>
        <v>27494.629999999997</v>
      </c>
    </row>
    <row r="5" spans="1:7" x14ac:dyDescent="0.2">
      <c r="A5" t="s">
        <v>11</v>
      </c>
      <c r="B5" s="4">
        <f>SUMIFS('Cleaned Data'!$G$4:$G$52,'Cleaned Data'!$B$4:$B$52,'Aging Summary'!$A5,'Cleaned Data'!$I$4:$I$52,'Aging Summary'!B$3)</f>
        <v>7809.24</v>
      </c>
      <c r="C5" s="4">
        <f>SUMIFS('Cleaned Data'!$G$4:$G$52,'Cleaned Data'!$B$4:$B$52,'Aging Summary'!$A5,'Cleaned Data'!$I$4:$I$52,'Aging Summary'!C$3)</f>
        <v>16442.11</v>
      </c>
      <c r="D5" s="4">
        <f>SUMIFS('Cleaned Data'!$G$4:$G$52,'Cleaned Data'!$B$4:$B$52,'Aging Summary'!$A5,'Cleaned Data'!$I$4:$I$52,'Aging Summary'!D$3)</f>
        <v>0</v>
      </c>
      <c r="E5" s="4">
        <f>SUMIFS('Cleaned Data'!$G$4:$G$52,'Cleaned Data'!$B$4:$B$52,'Aging Summary'!$A5,'Cleaned Data'!$I$4:$I$52,'Aging Summary'!E$3)</f>
        <v>0</v>
      </c>
      <c r="F5" s="4">
        <f>SUMIFS('Cleaned Data'!$G$4:$G$52,'Cleaned Data'!$B$4:$B$52,'Aging Summary'!$A5,'Cleaned Data'!$I$4:$I$52,'Aging Summary'!F$3)</f>
        <v>0</v>
      </c>
      <c r="G5" s="4">
        <f t="shared" ref="G5:G14" si="0">SUM(B5:F5)</f>
        <v>24251.35</v>
      </c>
    </row>
    <row r="6" spans="1:7" x14ac:dyDescent="0.2">
      <c r="A6" t="s">
        <v>14</v>
      </c>
      <c r="B6" s="4">
        <f>SUMIFS('Cleaned Data'!$G$4:$G$52,'Cleaned Data'!$B$4:$B$52,'Aging Summary'!$A6,'Cleaned Data'!$I$4:$I$52,'Aging Summary'!B$3)</f>
        <v>0</v>
      </c>
      <c r="C6" s="4">
        <f>SUMIFS('Cleaned Data'!$G$4:$G$52,'Cleaned Data'!$B$4:$B$52,'Aging Summary'!$A6,'Cleaned Data'!$I$4:$I$52,'Aging Summary'!C$3)</f>
        <v>1887.6399999999999</v>
      </c>
      <c r="D6" s="4">
        <f>SUMIFS('Cleaned Data'!$G$4:$G$52,'Cleaned Data'!$B$4:$B$52,'Aging Summary'!$A6,'Cleaned Data'!$I$4:$I$52,'Aging Summary'!D$3)</f>
        <v>0</v>
      </c>
      <c r="E6" s="4">
        <f>SUMIFS('Cleaned Data'!$G$4:$G$52,'Cleaned Data'!$B$4:$B$52,'Aging Summary'!$A6,'Cleaned Data'!$I$4:$I$52,'Aging Summary'!E$3)</f>
        <v>772.05</v>
      </c>
      <c r="F6" s="4">
        <f>SUMIFS('Cleaned Data'!$G$4:$G$52,'Cleaned Data'!$B$4:$B$52,'Aging Summary'!$A6,'Cleaned Data'!$I$4:$I$52,'Aging Summary'!F$3)</f>
        <v>0</v>
      </c>
      <c r="G6" s="4">
        <f t="shared" si="0"/>
        <v>2659.6899999999996</v>
      </c>
    </row>
    <row r="7" spans="1:7" x14ac:dyDescent="0.2">
      <c r="A7" t="s">
        <v>17</v>
      </c>
      <c r="B7" s="4">
        <f>SUMIFS('Cleaned Data'!$G$4:$G$52,'Cleaned Data'!$B$4:$B$52,'Aging Summary'!$A7,'Cleaned Data'!$I$4:$I$52,'Aging Summary'!B$3)</f>
        <v>0</v>
      </c>
      <c r="C7" s="4">
        <f>SUMIFS('Cleaned Data'!$G$4:$G$52,'Cleaned Data'!$B$4:$B$52,'Aging Summary'!$A7,'Cleaned Data'!$I$4:$I$52,'Aging Summary'!C$3)</f>
        <v>0</v>
      </c>
      <c r="D7" s="4">
        <f>SUMIFS('Cleaned Data'!$G$4:$G$52,'Cleaned Data'!$B$4:$B$52,'Aging Summary'!$A7,'Cleaned Data'!$I$4:$I$52,'Aging Summary'!D$3)</f>
        <v>2838.8199999999997</v>
      </c>
      <c r="E7" s="4">
        <f>SUMIFS('Cleaned Data'!$G$4:$G$52,'Cleaned Data'!$B$4:$B$52,'Aging Summary'!$A7,'Cleaned Data'!$I$4:$I$52,'Aging Summary'!E$3)</f>
        <v>5178.47</v>
      </c>
      <c r="F7" s="4">
        <f>SUMIFS('Cleaned Data'!$G$4:$G$52,'Cleaned Data'!$B$4:$B$52,'Aging Summary'!$A7,'Cleaned Data'!$I$4:$I$52,'Aging Summary'!F$3)</f>
        <v>0</v>
      </c>
      <c r="G7" s="4">
        <f t="shared" si="0"/>
        <v>8017.29</v>
      </c>
    </row>
    <row r="8" spans="1:7" x14ac:dyDescent="0.2">
      <c r="A8" t="s">
        <v>21</v>
      </c>
      <c r="B8" s="4">
        <f>SUMIFS('Cleaned Data'!$G$4:$G$52,'Cleaned Data'!$B$4:$B$52,'Aging Summary'!$A8,'Cleaned Data'!$I$4:$I$52,'Aging Summary'!B$3)</f>
        <v>8163.6999999999989</v>
      </c>
      <c r="C8" s="4">
        <f>SUMIFS('Cleaned Data'!$G$4:$G$52,'Cleaned Data'!$B$4:$B$52,'Aging Summary'!$A8,'Cleaned Data'!$I$4:$I$52,'Aging Summary'!C$3)</f>
        <v>1743.28</v>
      </c>
      <c r="D8" s="4">
        <f>SUMIFS('Cleaned Data'!$G$4:$G$52,'Cleaned Data'!$B$4:$B$52,'Aging Summary'!$A8,'Cleaned Data'!$I$4:$I$52,'Aging Summary'!D$3)</f>
        <v>8925.6200000000008</v>
      </c>
      <c r="E8" s="4">
        <f>SUMIFS('Cleaned Data'!$G$4:$G$52,'Cleaned Data'!$B$4:$B$52,'Aging Summary'!$A8,'Cleaned Data'!$I$4:$I$52,'Aging Summary'!E$3)</f>
        <v>9069.2099999999991</v>
      </c>
      <c r="F8" s="4">
        <f>SUMIFS('Cleaned Data'!$G$4:$G$52,'Cleaned Data'!$B$4:$B$52,'Aging Summary'!$A8,'Cleaned Data'!$I$4:$I$52,'Aging Summary'!F$3)</f>
        <v>0</v>
      </c>
      <c r="G8" s="4">
        <f t="shared" si="0"/>
        <v>27901.809999999998</v>
      </c>
    </row>
    <row r="9" spans="1:7" x14ac:dyDescent="0.2">
      <c r="A9" t="s">
        <v>25</v>
      </c>
      <c r="B9" s="4">
        <f>SUMIFS('Cleaned Data'!$G$4:$G$52,'Cleaned Data'!$B$4:$B$52,'Aging Summary'!$A9,'Cleaned Data'!$I$4:$I$52,'Aging Summary'!B$3)</f>
        <v>3577.17</v>
      </c>
      <c r="C9" s="4">
        <f>SUMIFS('Cleaned Data'!$G$4:$G$52,'Cleaned Data'!$B$4:$B$52,'Aging Summary'!$A9,'Cleaned Data'!$I$4:$I$52,'Aging Summary'!C$3)</f>
        <v>0</v>
      </c>
      <c r="D9" s="4">
        <f>SUMIFS('Cleaned Data'!$G$4:$G$52,'Cleaned Data'!$B$4:$B$52,'Aging Summary'!$A9,'Cleaned Data'!$I$4:$I$52,'Aging Summary'!D$3)</f>
        <v>795.96</v>
      </c>
      <c r="E9" s="4">
        <f>SUMIFS('Cleaned Data'!$G$4:$G$52,'Cleaned Data'!$B$4:$B$52,'Aging Summary'!$A9,'Cleaned Data'!$I$4:$I$52,'Aging Summary'!E$3)</f>
        <v>0</v>
      </c>
      <c r="F9" s="4">
        <f>SUMIFS('Cleaned Data'!$G$4:$G$52,'Cleaned Data'!$B$4:$B$52,'Aging Summary'!$A9,'Cleaned Data'!$I$4:$I$52,'Aging Summary'!F$3)</f>
        <v>0</v>
      </c>
      <c r="G9" s="4">
        <f t="shared" si="0"/>
        <v>4373.13</v>
      </c>
    </row>
    <row r="10" spans="1:7" x14ac:dyDescent="0.2">
      <c r="A10" t="s">
        <v>29</v>
      </c>
      <c r="B10" s="4">
        <f>SUMIFS('Cleaned Data'!$G$4:$G$52,'Cleaned Data'!$B$4:$B$52,'Aging Summary'!$A10,'Cleaned Data'!$I$4:$I$52,'Aging Summary'!B$3)</f>
        <v>3958.55</v>
      </c>
      <c r="C10" s="4">
        <f>SUMIFS('Cleaned Data'!$G$4:$G$52,'Cleaned Data'!$B$4:$B$52,'Aging Summary'!$A10,'Cleaned Data'!$I$4:$I$52,'Aging Summary'!C$3)</f>
        <v>2290.9899999999998</v>
      </c>
      <c r="D10" s="4">
        <f>SUMIFS('Cleaned Data'!$G$4:$G$52,'Cleaned Data'!$B$4:$B$52,'Aging Summary'!$A10,'Cleaned Data'!$I$4:$I$52,'Aging Summary'!D$3)</f>
        <v>0</v>
      </c>
      <c r="E10" s="4">
        <f>SUMIFS('Cleaned Data'!$G$4:$G$52,'Cleaned Data'!$B$4:$B$52,'Aging Summary'!$A10,'Cleaned Data'!$I$4:$I$52,'Aging Summary'!E$3)</f>
        <v>0</v>
      </c>
      <c r="F10" s="4">
        <f>SUMIFS('Cleaned Data'!$G$4:$G$52,'Cleaned Data'!$B$4:$B$52,'Aging Summary'!$A10,'Cleaned Data'!$I$4:$I$52,'Aging Summary'!F$3)</f>
        <v>0</v>
      </c>
      <c r="G10" s="4">
        <f t="shared" si="0"/>
        <v>6249.54</v>
      </c>
    </row>
    <row r="11" spans="1:7" x14ac:dyDescent="0.2">
      <c r="A11" t="s">
        <v>31</v>
      </c>
      <c r="B11" s="4">
        <f>SUMIFS('Cleaned Data'!$G$4:$G$52,'Cleaned Data'!$B$4:$B$52,'Aging Summary'!$A11,'Cleaned Data'!$I$4:$I$52,'Aging Summary'!B$3)</f>
        <v>3718.54</v>
      </c>
      <c r="C11" s="4">
        <f>SUMIFS('Cleaned Data'!$G$4:$G$52,'Cleaned Data'!$B$4:$B$52,'Aging Summary'!$A11,'Cleaned Data'!$I$4:$I$52,'Aging Summary'!C$3)</f>
        <v>4711.57</v>
      </c>
      <c r="D11" s="4">
        <f>SUMIFS('Cleaned Data'!$G$4:$G$52,'Cleaned Data'!$B$4:$B$52,'Aging Summary'!$A11,'Cleaned Data'!$I$4:$I$52,'Aging Summary'!D$3)</f>
        <v>9507.9700000000012</v>
      </c>
      <c r="E11" s="4">
        <f>SUMIFS('Cleaned Data'!$G$4:$G$52,'Cleaned Data'!$B$4:$B$52,'Aging Summary'!$A11,'Cleaned Data'!$I$4:$I$52,'Aging Summary'!E$3)</f>
        <v>224.22</v>
      </c>
      <c r="F11" s="4">
        <f>SUMIFS('Cleaned Data'!$G$4:$G$52,'Cleaned Data'!$B$4:$B$52,'Aging Summary'!$A11,'Cleaned Data'!$I$4:$I$52,'Aging Summary'!F$3)</f>
        <v>0</v>
      </c>
      <c r="G11" s="4">
        <f t="shared" si="0"/>
        <v>18162.300000000003</v>
      </c>
    </row>
    <row r="12" spans="1:7" x14ac:dyDescent="0.2">
      <c r="A12" t="s">
        <v>34</v>
      </c>
      <c r="B12" s="4">
        <f>SUMIFS('Cleaned Data'!$G$4:$G$52,'Cleaned Data'!$B$4:$B$52,'Aging Summary'!$A12,'Cleaned Data'!$I$4:$I$52,'Aging Summary'!B$3)</f>
        <v>0</v>
      </c>
      <c r="C12" s="4">
        <f>SUMIFS('Cleaned Data'!$G$4:$G$52,'Cleaned Data'!$B$4:$B$52,'Aging Summary'!$A12,'Cleaned Data'!$I$4:$I$52,'Aging Summary'!C$3)</f>
        <v>0</v>
      </c>
      <c r="D12" s="4">
        <f>SUMIFS('Cleaned Data'!$G$4:$G$52,'Cleaned Data'!$B$4:$B$52,'Aging Summary'!$A12,'Cleaned Data'!$I$4:$I$52,'Aging Summary'!D$3)</f>
        <v>0</v>
      </c>
      <c r="E12" s="4">
        <f>SUMIFS('Cleaned Data'!$G$4:$G$52,'Cleaned Data'!$B$4:$B$52,'Aging Summary'!$A12,'Cleaned Data'!$I$4:$I$52,'Aging Summary'!E$3)</f>
        <v>0</v>
      </c>
      <c r="F12" s="4">
        <f>SUMIFS('Cleaned Data'!$G$4:$G$52,'Cleaned Data'!$B$4:$B$52,'Aging Summary'!$A12,'Cleaned Data'!$I$4:$I$52,'Aging Summary'!F$3)</f>
        <v>0</v>
      </c>
      <c r="G12" s="4">
        <f t="shared" si="0"/>
        <v>0</v>
      </c>
    </row>
    <row r="13" spans="1:7" x14ac:dyDescent="0.2">
      <c r="A13" t="s">
        <v>44</v>
      </c>
      <c r="B13" s="4">
        <f>SUMIFS('Cleaned Data'!$G$4:$G$52,'Cleaned Data'!$B$4:$B$52,'Aging Summary'!$A13,'Cleaned Data'!$I$4:$I$52,'Aging Summary'!B$3)</f>
        <v>2697.02</v>
      </c>
      <c r="C13" s="4">
        <f>SUMIFS('Cleaned Data'!$G$4:$G$52,'Cleaned Data'!$B$4:$B$52,'Aging Summary'!$A13,'Cleaned Data'!$I$4:$I$52,'Aging Summary'!C$3)</f>
        <v>0</v>
      </c>
      <c r="D13" s="4">
        <f>SUMIFS('Cleaned Data'!$G$4:$G$52,'Cleaned Data'!$B$4:$B$52,'Aging Summary'!$A13,'Cleaned Data'!$I$4:$I$52,'Aging Summary'!D$3)</f>
        <v>0</v>
      </c>
      <c r="E13" s="4">
        <f>SUMIFS('Cleaned Data'!$G$4:$G$52,'Cleaned Data'!$B$4:$B$52,'Aging Summary'!$A13,'Cleaned Data'!$I$4:$I$52,'Aging Summary'!E$3)</f>
        <v>780.43</v>
      </c>
      <c r="F13" s="4">
        <f>SUMIFS('Cleaned Data'!$G$4:$G$52,'Cleaned Data'!$B$4:$B$52,'Aging Summary'!$A13,'Cleaned Data'!$I$4:$I$52,'Aging Summary'!F$3)</f>
        <v>0</v>
      </c>
      <c r="G13" s="4">
        <f t="shared" si="0"/>
        <v>3477.45</v>
      </c>
    </row>
    <row r="14" spans="1:7" x14ac:dyDescent="0.2">
      <c r="A14" t="s">
        <v>51</v>
      </c>
      <c r="B14" s="4">
        <f>SUMIFS('Cleaned Data'!$G$4:$G$52,'Cleaned Data'!$B$4:$B$52,'Aging Summary'!$A14,'Cleaned Data'!$I$4:$I$52,'Aging Summary'!B$3)</f>
        <v>2874.46</v>
      </c>
      <c r="C14" s="4">
        <f>SUMIFS('Cleaned Data'!$G$4:$G$52,'Cleaned Data'!$B$4:$B$52,'Aging Summary'!$A14,'Cleaned Data'!$I$4:$I$52,'Aging Summary'!C$3)</f>
        <v>8036.8899999999994</v>
      </c>
      <c r="D14" s="4">
        <f>SUMIFS('Cleaned Data'!$G$4:$G$52,'Cleaned Data'!$B$4:$B$52,'Aging Summary'!$A14,'Cleaned Data'!$I$4:$I$52,'Aging Summary'!D$3)</f>
        <v>0</v>
      </c>
      <c r="E14" s="4">
        <f>SUMIFS('Cleaned Data'!$G$4:$G$52,'Cleaned Data'!$B$4:$B$52,'Aging Summary'!$A14,'Cleaned Data'!$I$4:$I$52,'Aging Summary'!E$3)</f>
        <v>0</v>
      </c>
      <c r="F14" s="4">
        <f>SUMIFS('Cleaned Data'!$G$4:$G$52,'Cleaned Data'!$B$4:$B$52,'Aging Summary'!$A14,'Cleaned Data'!$I$4:$I$52,'Aging Summary'!F$3)</f>
        <v>0</v>
      </c>
      <c r="G14" s="4">
        <f t="shared" si="0"/>
        <v>10911.349999999999</v>
      </c>
    </row>
    <row r="15" spans="1:7" x14ac:dyDescent="0.2">
      <c r="A15" s="3" t="s">
        <v>95</v>
      </c>
      <c r="G15" s="6">
        <f>SUM(G4:G14)</f>
        <v>133498.53999999998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 Data</vt:lpstr>
      <vt:lpstr>Cleaned Data</vt:lpstr>
      <vt:lpstr>Aging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Duong</dc:creator>
  <cp:lastModifiedBy>Cindy Duong</cp:lastModifiedBy>
  <dcterms:created xsi:type="dcterms:W3CDTF">2026-09-05T15:48:25Z</dcterms:created>
  <dcterms:modified xsi:type="dcterms:W3CDTF">2026-09-06T19:49:09Z</dcterms:modified>
</cp:coreProperties>
</file>